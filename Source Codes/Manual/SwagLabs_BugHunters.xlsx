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NHA-245\Source Codes\Manual\"/>
    </mc:Choice>
  </mc:AlternateContent>
  <xr:revisionPtr revIDLastSave="0" documentId="8_{D3C076F9-FE1E-4F62-8B2F-C0741C0AEFDB}" xr6:coauthVersionLast="47" xr6:coauthVersionMax="47" xr10:uidLastSave="{00000000-0000-0000-0000-000000000000}"/>
  <bookViews>
    <workbookView xWindow="-120" yWindow="-120" windowWidth="20730" windowHeight="11160" firstSheet="3" activeTab="6" xr2:uid="{00000000-000D-0000-FFFF-FFFF00000000}"/>
  </bookViews>
  <sheets>
    <sheet name="Project_Info" sheetId="8" r:id="rId1"/>
    <sheet name="Requirements" sheetId="1" r:id="rId2"/>
    <sheet name="User_Stories" sheetId="2" r:id="rId3"/>
    <sheet name="Test_Cases" sheetId="3" r:id="rId4"/>
    <sheet name="SIQs" sheetId="4" r:id="rId5"/>
    <sheet name="Traceability" sheetId="5" r:id="rId6"/>
    <sheet name="Bug_Report" sheetId="7" r:id="rId7"/>
    <sheet name="Summary_Report" sheetId="6" r:id="rId8"/>
  </sheets>
  <definedNames>
    <definedName name="_xlnm.Print_Area" localSheetId="3">Test_Cases!$A$110:$O$120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4" i="3" l="1"/>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43"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11"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36" i="3"/>
  <c r="A37" i="3"/>
  <c r="A38" i="3"/>
  <c r="A39" i="3"/>
  <c r="A40" i="3"/>
  <c r="A41" i="3"/>
  <c r="A42" i="3"/>
  <c r="A43" i="3"/>
  <c r="A44" i="3"/>
  <c r="A45" i="3"/>
  <c r="A46" i="3"/>
  <c r="A47" i="3"/>
  <c r="A48" i="3"/>
  <c r="A49" i="3"/>
  <c r="A35"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 i="3"/>
</calcChain>
</file>

<file path=xl/sharedStrings.xml><?xml version="1.0" encoding="utf-8"?>
<sst xmlns="http://schemas.openxmlformats.org/spreadsheetml/2006/main" count="3212" uniqueCount="1312">
  <si>
    <t>Project Name:</t>
  </si>
  <si>
    <t>SwagLabs Ecommerce</t>
  </si>
  <si>
    <t>Client:</t>
  </si>
  <si>
    <t>---</t>
  </si>
  <si>
    <t>Created By:</t>
  </si>
  <si>
    <t>BugHunters</t>
  </si>
  <si>
    <t>Creation Date:</t>
  </si>
  <si>
    <t>Reviewed by:</t>
  </si>
  <si>
    <t>Type of Testing:</t>
  </si>
  <si>
    <t>Manual</t>
  </si>
  <si>
    <t>Req_ID</t>
  </si>
  <si>
    <t>Description</t>
  </si>
  <si>
    <t>Type</t>
  </si>
  <si>
    <t>Priority</t>
  </si>
  <si>
    <t>Module</t>
  </si>
  <si>
    <t>Status</t>
  </si>
  <si>
    <t>Version</t>
  </si>
  <si>
    <t>Functional</t>
  </si>
  <si>
    <t>FR-LOGIN-01</t>
  </si>
  <si>
    <t>The system shall allow users to log in using valid credentials.</t>
  </si>
  <si>
    <t>High</t>
  </si>
  <si>
    <t>Login</t>
  </si>
  <si>
    <t>FR-LOGIN-02</t>
  </si>
  <si>
    <t>The system shall display an error message for invalid login input.</t>
  </si>
  <si>
    <t>FR-LOGIN-03</t>
  </si>
  <si>
    <t>Upon successful login, the user shall be redirected to the Products page.</t>
  </si>
  <si>
    <t>FR-PROD-01</t>
  </si>
  <si>
    <t>The system shall display a list of available products.</t>
  </si>
  <si>
    <t>Products</t>
  </si>
  <si>
    <t>FR-PROD-02</t>
  </si>
  <si>
    <t>The system shall allow users to sort products alphabetically (A → Z).</t>
  </si>
  <si>
    <t>Medium</t>
  </si>
  <si>
    <t>FR-PROD-03</t>
  </si>
  <si>
    <t>The system shall allow users to sort products alphabetically (Z → A).</t>
  </si>
  <si>
    <t>FR-PROD-04</t>
  </si>
  <si>
    <t>The system shall allow users to sort products by price (Low → High).</t>
  </si>
  <si>
    <t>FR-PROD-05</t>
  </si>
  <si>
    <t>The system shall allow users to sort products by price (High → Low).</t>
  </si>
  <si>
    <t>FR-PROD-06</t>
  </si>
  <si>
    <t>The filter dropdown list shall display all sorting options when clicked.</t>
  </si>
  <si>
    <t>FR-CART-01</t>
  </si>
  <si>
    <t>The system shall allow users to add an item to the shopping cart.</t>
  </si>
  <si>
    <t>Cart</t>
  </si>
  <si>
    <t>FR-CART-02</t>
  </si>
  <si>
    <t>The system shall allow users to remove an item from the cart.</t>
  </si>
  <si>
    <t>FR-CART-03</t>
  </si>
  <si>
    <t>The system shall update the cart icon badge count dynamically.</t>
  </si>
  <si>
    <t>FR-CART-04</t>
  </si>
  <si>
    <t>The system shall display all selected items on the Cart page.</t>
  </si>
  <si>
    <t>FR-CHK-01</t>
  </si>
  <si>
    <t>The system shall allow the user to continue from the Cart page to Checkout Step 1.</t>
  </si>
  <si>
    <t>Checkout</t>
  </si>
  <si>
    <t>FR-CHK-02</t>
  </si>
  <si>
    <t>The system shall require First Name, Last Name, and ZIP code to proceed.</t>
  </si>
  <si>
    <t>FR-CHK-03</t>
  </si>
  <si>
    <t>The system shall display an order overview before finalizing the purchase.</t>
  </si>
  <si>
    <t>FR-CHK-04</t>
  </si>
  <si>
    <t>The system shall complete the order and show confirmation.</t>
  </si>
  <si>
    <t>Non Functional</t>
  </si>
  <si>
    <t>NFR-USAB-01</t>
  </si>
  <si>
    <t>The UI must be clear, consistent, and easy to navigate.</t>
  </si>
  <si>
    <t>Usability</t>
  </si>
  <si>
    <t>UI</t>
  </si>
  <si>
    <t>NFR-PERF-01</t>
  </si>
  <si>
    <t>Sorting shall respond within 2 seconds.</t>
  </si>
  <si>
    <t>Performance</t>
  </si>
  <si>
    <t>NFR-PERF-02</t>
  </si>
  <si>
    <t>Page load time shall not exceed 3 seconds.</t>
  </si>
  <si>
    <t>System</t>
  </si>
  <si>
    <t>NFR-RELI-01</t>
  </si>
  <si>
    <t>The application shall function consistently across major browsers.</t>
  </si>
  <si>
    <t>Reliability</t>
  </si>
  <si>
    <t>NFR-SEC-01</t>
  </si>
  <si>
    <t>Passwords must not be exposed in plain text.</t>
  </si>
  <si>
    <t>Security</t>
  </si>
  <si>
    <t>US_ID</t>
  </si>
  <si>
    <t>UserStory</t>
  </si>
  <si>
    <t>AcceptanceCriteria</t>
  </si>
  <si>
    <t>US-LOGIN-01</t>
  </si>
  <si>
    <t>As a user, I want to log into the system so I can access my products.</t>
  </si>
  <si>
    <t>User enters valid credentials and is redirected to the Products page.</t>
  </si>
  <si>
    <t>US-LOGIN-02</t>
  </si>
  <si>
    <t>As a user, I want to see an error for invalid credentials.</t>
  </si>
  <si>
    <t>Error message appears for incorrect username or password.</t>
  </si>
  <si>
    <t>US-LOGIN-03</t>
  </si>
  <si>
    <t>As a user, I want to be redirected after login.</t>
  </si>
  <si>
    <t>Successful login takes the user to the Products page.</t>
  </si>
  <si>
    <t>US-PROD-01</t>
  </si>
  <si>
    <t>As a user, I want to view all products.</t>
  </si>
  <si>
    <t>Product list displays all available items.</t>
  </si>
  <si>
    <t>US-PROD-02</t>
  </si>
  <si>
    <t>As a user, I want to sort products A→Z.</t>
  </si>
  <si>
    <t>Items reorder alphabetically (A→Z).</t>
  </si>
  <si>
    <t>US-PROD-03</t>
  </si>
  <si>
    <t>As a user, I want to sort products Z→A.</t>
  </si>
  <si>
    <t>Items reorder alphabetically (Z→A).</t>
  </si>
  <si>
    <t>US-PROD-04</t>
  </si>
  <si>
    <t>As a user, I want to sort products by low price.</t>
  </si>
  <si>
    <t>Items reorder from lowest to highest price.</t>
  </si>
  <si>
    <t>US-PROD-05</t>
  </si>
  <si>
    <t>As a user, I want to sort products by high price.</t>
  </si>
  <si>
    <t>Items reorder from highest to lowest price.</t>
  </si>
  <si>
    <t>US-PROD-06</t>
  </si>
  <si>
    <t>As a user, I want the sorting dropdown to open clearly.</t>
  </si>
  <si>
    <t>Dropdown opens and displays all sorting options.</t>
  </si>
  <si>
    <t>US-CART-01</t>
  </si>
  <si>
    <t>As a user, I want to add items to my cart.</t>
  </si>
  <si>
    <t>Item is added and the cart badge count increases.</t>
  </si>
  <si>
    <t>US-CART-02</t>
  </si>
  <si>
    <t>As a user, I want to remove items from my cart.</t>
  </si>
  <si>
    <t>Item is removed and the cart badge count updates accordingly.</t>
  </si>
  <si>
    <t>US-CART-03</t>
  </si>
  <si>
    <t>As a user, I want to see the number of items I added.</t>
  </si>
  <si>
    <t>Cart icon displays the correct number of items.</t>
  </si>
  <si>
    <t>US-CART-04</t>
  </si>
  <si>
    <t>As a user, I want to view items I added to my cart.</t>
  </si>
  <si>
    <t>Cart page displays all selected items.</t>
  </si>
  <si>
    <t>US-CHK-01</t>
  </si>
  <si>
    <t>As a user, I want to proceed to checkout.</t>
  </si>
  <si>
    <t>Checkout Step 1 loads successfully.</t>
  </si>
  <si>
    <t>US-CHK-02</t>
  </si>
  <si>
    <t>As a user, I want to enter my personal information so I can complete checkout.</t>
  </si>
  <si>
    <t>First Name, Last Name, and ZIP Code are required to proceed.</t>
  </si>
  <si>
    <t>US-CHK-03</t>
  </si>
  <si>
    <t>As a user, I want to review my order.</t>
  </si>
  <si>
    <t>Overview page shows selected items, totals, and taxes.</t>
  </si>
  <si>
    <t>US-CHK-04</t>
  </si>
  <si>
    <t>As a user, I want to complete my purchase.</t>
  </si>
  <si>
    <t>Confirmation page appears after finalizing the order.</t>
  </si>
  <si>
    <t>TC_ID</t>
  </si>
  <si>
    <t>Feature</t>
  </si>
  <si>
    <t>Req ID</t>
  </si>
  <si>
    <t>Title</t>
  </si>
  <si>
    <t>Preconditions</t>
  </si>
  <si>
    <t>Test Steps</t>
  </si>
  <si>
    <t>Test Data</t>
  </si>
  <si>
    <t>Expected Result</t>
  </si>
  <si>
    <t>Postconditions</t>
  </si>
  <si>
    <t>Actual Result</t>
  </si>
  <si>
    <t>Author</t>
  </si>
  <si>
    <t>Execution Cycle</t>
  </si>
  <si>
    <t>Priorty</t>
  </si>
  <si>
    <t>TEST SUITE : Standard User</t>
  </si>
  <si>
    <t>Successful Login with Valid Credentials</t>
  </si>
  <si>
    <t>Verify login with valid username and password.</t>
  </si>
  <si>
    <t>User is on login page</t>
  </si>
  <si>
    <t>1. Enter username: 'standard_user'
2. Enter password: 'secret_sauce'
3. Click 'Login' button</t>
  </si>
  <si>
    <t>username: 'standard_user'
password: 'secret_sauce'</t>
  </si>
  <si>
    <t>User is redirected to Products page with inventory displayed</t>
  </si>
  <si>
    <t>Passed</t>
  </si>
  <si>
    <t>M.A</t>
  </si>
  <si>
    <t>Cycle_1</t>
  </si>
  <si>
    <t xml:space="preserve">Product Listing	</t>
  </si>
  <si>
    <t>Verify Products Display</t>
  </si>
  <si>
    <t>Check that products are displayed</t>
  </si>
  <si>
    <t>1. Navigate to Products page 
2. Observe product listings</t>
  </si>
  <si>
    <t>All 6 products displayed with image, name, description, price, and 'Add to cart' button</t>
  </si>
  <si>
    <t>Sort Products by Price (Low to High)</t>
  </si>
  <si>
    <t>check sorting is work properly : (low to high) choice</t>
  </si>
  <si>
    <t>User is on Products page</t>
  </si>
  <si>
    <t>1. Click on sort dropdown
2. Select 'Price (low to high)'</t>
  </si>
  <si>
    <t>Products arranged in ascending order by price</t>
  </si>
  <si>
    <t>Sort Products by Price (High to Low)</t>
  </si>
  <si>
    <t>check sorting is work properly : (high to low) 
choice</t>
  </si>
  <si>
    <t>1. Click on sort dropdown
2. Select 'Price (high to low)</t>
  </si>
  <si>
    <t>Products arranged in descending
 order by price</t>
  </si>
  <si>
    <t>Sort Products by Name (A to Z)</t>
  </si>
  <si>
    <t>check sorting is work properly : (A to Z) 
choice</t>
  </si>
  <si>
    <t>1. Click on sort dropdown
2. Select 'Price (A to Z) '</t>
  </si>
  <si>
    <t>Products arranged alphabetically
 from A to Z</t>
  </si>
  <si>
    <t>Sort Products by Name (Z to A)</t>
  </si>
  <si>
    <t>check sorting is work properly : (Z to A)
choice</t>
  </si>
  <si>
    <t>1. Click on sort dropdown
2. Select 'Price (Z to A) '</t>
  </si>
  <si>
    <t>Products arranged alphabetically
 from Z to A</t>
  </si>
  <si>
    <t>Add to Cart</t>
  </si>
  <si>
    <t>Add Single Product to Cart</t>
  </si>
  <si>
    <t>check adding single product</t>
  </si>
  <si>
    <t>1. Click 'Add to cart' button for any product
2. Observe cart badge and button text</t>
  </si>
  <si>
    <t>Cart badge shows '1', button text changes to 'Remove'</t>
  </si>
  <si>
    <t>Add Multiple Products to Cart</t>
  </si>
  <si>
    <t>check adding multiple products</t>
  </si>
  <si>
    <t>1. Click 'Add to cart' for 3 different products
2. Check cart badge</t>
  </si>
  <si>
    <t>Cart badge shows '3', buttons text changes to 'Remove'</t>
  </si>
  <si>
    <t>Remove Product from Cart (Products Page)</t>
  </si>
  <si>
    <t>check removing  product from product page</t>
  </si>
  <si>
    <t>Product is already added to cart</t>
  </si>
  <si>
    <t>1. Click 'Remove' button for the added product
2. Observe cart badge</t>
  </si>
  <si>
    <t>Button text changes to 'Add to cart', cart count decreases by 1</t>
  </si>
  <si>
    <t>Product Details</t>
  </si>
  <si>
    <t>View Product Details</t>
  </si>
  <si>
    <t>1. Click on any product image or name
2. Observe product details page</t>
  </si>
  <si>
    <t>Product image, name, description, price, 'Add to cart', and 'Back to products' button displayed</t>
  </si>
  <si>
    <t>Add Product from Detail Page</t>
  </si>
  <si>
    <t>check addition from product list</t>
  </si>
  <si>
    <t>User is on product detail page</t>
  </si>
  <si>
    <t>1. Click 'Add to cart' button
2. Check cart badge</t>
  </si>
  <si>
    <t>Product added to cart, cart count increases, button changes to 'Remove'</t>
  </si>
  <si>
    <t>Navigate Back to Products</t>
  </si>
  <si>
    <t>check redirection to product page</t>
  </si>
  <si>
    <t>1. Click 'Back to products' button</t>
  </si>
  <si>
    <t>User redirected to Products listing page</t>
  </si>
  <si>
    <t>Shopping Cart</t>
  </si>
  <si>
    <t>View Shopping Cart</t>
  </si>
  <si>
    <t>check products in shopping cart</t>
  </si>
  <si>
    <t>At least one product is in cart</t>
  </si>
  <si>
    <t>1. Click on shopping cart icon
2. Observe cart page</t>
  </si>
  <si>
    <t>All added products listed with quantity, name, description, price. 'Continue Shopping' and 'Checkout' buttons visible</t>
  </si>
  <si>
    <t>Remove Product from Cart Page</t>
  </si>
  <si>
    <t>Product is in cart</t>
  </si>
  <si>
    <t>1. Navigate to cart page
2. Click 'Remove' button for a product</t>
  </si>
  <si>
    <t>Product removed, cart count updates. 'Continue Shopping' &amp; 'Check out' buttons active</t>
  </si>
  <si>
    <t>Continue Shopping from Cart</t>
  </si>
  <si>
    <t xml:space="preserve">Check redirectio of the user from cart page to product page </t>
  </si>
  <si>
    <t>User is on cart page</t>
  </si>
  <si>
    <t>1. Click 'Continue Shopping' button</t>
  </si>
  <si>
    <t>User redirected to Products page</t>
  </si>
  <si>
    <t>check out</t>
  </si>
  <si>
    <t>Proceed to Checkout</t>
  </si>
  <si>
    <t xml:space="preserve">trying check out </t>
  </si>
  <si>
    <t>1. Navigate to cart page
2. Click 'Checkout' button</t>
  </si>
  <si>
    <t>User redirected to Checkout Information page</t>
  </si>
  <si>
    <t xml:space="preserve">Complete Checkout with Valid Information	</t>
  </si>
  <si>
    <t>User is on checkout page</t>
  </si>
  <si>
    <t>1. Enter First Name: 'Mariam'
2. Enter Last Name: 'Ahmed'
3. Enter Zip: '5342120'
4. Click 'Continue'
5. Review order
6. Click 'Finish'</t>
  </si>
  <si>
    <t xml:space="preserve">First Name: 'Mariam'
Last Name: 'Ahmed'
Zip: '5342120'
</t>
  </si>
  <si>
    <t>Order confirmation page displays and thanks message.</t>
  </si>
  <si>
    <t>Order confirmation page displays 'Thank you for your order!' with checkout complete icon</t>
  </si>
  <si>
    <t>Checkout with Empty First Name</t>
  </si>
  <si>
    <t>User is on checkout information page</t>
  </si>
  <si>
    <t>1. Enter First Name: Empty
2. Enter Last Name: 'Ahmed'
3. Enter Zip: '5342120'
4. Click 'Continue'
5. Review order
6. Click 'Finish'</t>
  </si>
  <si>
    <t>First Name: 
Last Name: 'Ahmed'
Zip: '5342120'</t>
  </si>
  <si>
    <t>Error message : 'Error: First Name is required'</t>
  </si>
  <si>
    <t>Checkout with digits in the First Name</t>
  </si>
  <si>
    <t xml:space="preserve">trying digits in the first name </t>
  </si>
  <si>
    <t>1. Enter First Name: 000000
2. Enter Last Name: 'Ahmed'
3. Enter Zip: '5342120'
4. Click 'Continue'
5. Review order
6. Click 'Finish'</t>
  </si>
  <si>
    <t>First Name: 000000
Last Name: 'Ahmed'
Zip: '5342120'</t>
  </si>
  <si>
    <t>Error message : 'Error: First Name must be characters'</t>
  </si>
  <si>
    <t xml:space="preserve">checkout success message </t>
  </si>
  <si>
    <t>Failed</t>
  </si>
  <si>
    <t>Checkout with special characters in the First Name</t>
  </si>
  <si>
    <t xml:space="preserve">trying special characters in the first name </t>
  </si>
  <si>
    <t>1. Enter First Name: ######
2. Enter Last Name: 'Ahmed'
3. Enter Zip: '5342120'
4. Click 'Continue'
5. Review order
6. Click 'Finish'</t>
  </si>
  <si>
    <t>First Name: ######
Last Name: 'Ahmed'
Zip: '5342120'</t>
  </si>
  <si>
    <t>Checkout with Empty Last Name</t>
  </si>
  <si>
    <t>1. Enter First Name: 'Mariam'
2. Enter Last Name: Empty
3. Enter Zip: '5342120'
4. Click 'Continue'
5. Review order
6. Click 'Finish'</t>
  </si>
  <si>
    <t>First Name: 'Mariam'
Last Name: 
Zip: '5342120'</t>
  </si>
  <si>
    <t>Error message: 'Error: Last Name is required'</t>
  </si>
  <si>
    <t>Error message : 'Error: Last Name is required'</t>
  </si>
  <si>
    <t>Checkout with digits in the Last Name</t>
  </si>
  <si>
    <t xml:space="preserve">trying digits in the last name </t>
  </si>
  <si>
    <t>1. Enter First Name: 'Mariam'
2. Enter Last Name: 565146
3. Enter Zip: '5342120'
4. Click 'Continue'
5. Review order
6. Click 'Finish'</t>
  </si>
  <si>
    <t>First Name: 'Mariam'
Last Name: 565146
Zip: '5342120'</t>
  </si>
  <si>
    <t>Redirection to the checkout details then when click on finish it redirct to insert checkout data</t>
  </si>
  <si>
    <t>Checkout with special characters in the Last Name</t>
  </si>
  <si>
    <t xml:space="preserve">trying special characters in the Last name </t>
  </si>
  <si>
    <t>1. Enter First Name: 'Mariam'
2. Enter Last Name:###### 
3. Enter Zip: '5342120'
4. Click 'Continue'
5. Review order
6. Click 'Finish'</t>
  </si>
  <si>
    <t>First Name: 'Mariam'
Last Name: ######
Zip: '5342120'</t>
  </si>
  <si>
    <t>Error message : 'Error: Last Name must be characters'</t>
  </si>
  <si>
    <t>Verify Checkout Overview</t>
  </si>
  <si>
    <t>User completed checkout information</t>
  </si>
  <si>
    <t>1. Review Checkout Overview page
2. Verify all details</t>
  </si>
  <si>
    <t>All items listed with quantities and prices. Item total, tax, and total price calculated correctly. Payment and shipping info displayed</t>
  </si>
  <si>
    <t>Cancel Checkout from Overview</t>
  </si>
  <si>
    <t>User is on checkout overview page</t>
  </si>
  <si>
    <t>1. Click 'Cancel' button</t>
  </si>
  <si>
    <t>User redirected to Products page, cart retains items</t>
  </si>
  <si>
    <t>Navigation</t>
  </si>
  <si>
    <t xml:space="preserve">Open Sidebar Menu	</t>
  </si>
  <si>
    <t>User is logged in</t>
  </si>
  <si>
    <t>1. Click on  navbar icon</t>
  </si>
  <si>
    <t>Sidebar menu opens with options</t>
  </si>
  <si>
    <t>Sidebar menu opens with options: All Items, About, Logout, Reset App State</t>
  </si>
  <si>
    <t>Navigate to All Items</t>
  </si>
  <si>
    <t>User is on any page, navbar is open</t>
  </si>
  <si>
    <t>1. Click 'All Items' in navbar</t>
  </si>
  <si>
    <t>Reset App State</t>
  </si>
  <si>
    <t>User has items in cart</t>
  </si>
  <si>
    <t>1. Open sidebar menu
2. Click 'Reset App State'
3. Check cart</t>
  </si>
  <si>
    <t>Cart is cleared, all items removed</t>
  </si>
  <si>
    <t>User Interface</t>
  </si>
  <si>
    <t>Verify Social Media Links</t>
  </si>
  <si>
    <t>check links in the footer for social media</t>
  </si>
  <si>
    <t>User is on any page</t>
  </si>
  <si>
    <t>1. Scroll to footer
2. Click on Twitter, Facebook, LinkedIn icons</t>
  </si>
  <si>
    <t>Each link opens respective Sauce Labs social media page in new tab</t>
  </si>
  <si>
    <t>TEST SUITE : Problem User</t>
  </si>
  <si>
    <t>sort or filter moduel</t>
  </si>
  <si>
    <t>clicking on list down button of the filter box</t>
  </si>
  <si>
    <t>try to click on list down button (the small triangle)on sort or (filter) to choose the sutible filter</t>
  </si>
  <si>
    <t>open (problem_user) user</t>
  </si>
  <si>
    <t xml:space="preserve">1-open "https://www.saucedemo.com/" website
2-enter "problem_user" in the username
3-enter "secret_sauce" in the password
4-press login button
5- from the filter box in the up right side of the page press on the small triangle  </t>
  </si>
  <si>
    <t>fillter options list is pulled down</t>
  </si>
  <si>
    <t>no action happened</t>
  </si>
  <si>
    <t>A.L.</t>
  </si>
  <si>
    <t>clicking on filter box</t>
  </si>
  <si>
    <t>try to click on the sort box</t>
  </si>
  <si>
    <t>1-open "https://www.saucedemo.com/" website
2-enter "problem_user" in the username
3-enter "secret_sauce" in the password
4-press login button
5- from the filter box in the up right side of the page press on it</t>
  </si>
  <si>
    <t>sort the products alphabeticaly from ( Z-A)</t>
  </si>
  <si>
    <t>sort the producrs alphabeticaly from (Z-A)</t>
  </si>
  <si>
    <t>1-open "https://www.saucedemo.com/" website
2-enter "problem_user" in the username
3-enter "secret_sauce" in the password
4-press login button
5- from the filter box in the up right side of the page press on it
6-click on ( name (A-Z) button )</t>
  </si>
  <si>
    <t xml:space="preserve">products are sortes alphabetically
from ( Z-A) </t>
  </si>
  <si>
    <t>no action
 happened</t>
  </si>
  <si>
    <t>sort the products from
 (low to high ) price</t>
  </si>
  <si>
    <t xml:space="preserve">sort the producrs from low to high in price </t>
  </si>
  <si>
    <t>1-open "https://www.saucedemo.com/" website
2-enter "problem_user" in the username
3-enter "secret_sauce" in the password
4-press login button
5- from the filter box in the up right side of the page press on it
6-click on ( price (low to high) button )</t>
  </si>
  <si>
    <t>products are sortes from low to high price</t>
  </si>
  <si>
    <t xml:space="preserve">sort the producrs from high to low in price </t>
  </si>
  <si>
    <t>1-open "https://www.saucedemo.com/" website
2-enter "problem_user" in the username
3-enter "secret_sauce" in the password
4-press login button
5- from the filter box in the up right side of the page press on it
6-click on ( price (high to low) button )</t>
  </si>
  <si>
    <t>products are sortes from high
to low price</t>
  </si>
  <si>
    <t>no action
happened</t>
  </si>
  <si>
    <t>add to card</t>
  </si>
  <si>
    <t>add all products to cart</t>
  </si>
  <si>
    <t xml:space="preserve">try to add all products to cart </t>
  </si>
  <si>
    <t>1-open "https://www.saucedemo.com/" website
2-enter "problem_user" in the username
3-enter "secret_sauce" in the password
4-press login button
5-from the products
6-click "on add to cart" box for each product</t>
  </si>
  <si>
    <t xml:space="preserve">https://drive.google.com/file/d/1mzptMy4ClUw6O8Ye4UjHWhb5ij5fuNB7/view?usp=drive_link </t>
  </si>
  <si>
    <t>all the products are added to the cart</t>
  </si>
  <si>
    <t xml:space="preserve"> the products (Sauce Labs Backpack- Sauce Labs Bike Light - Test.allTheThings() T-Shirt (Red)) have been added
the products (Sauce Labs Onesie-Sauce Labs Fleece Jacket-Sauce Labs Bolt T-Shirt) havenot been added</t>
  </si>
  <si>
    <t>add to cart</t>
  </si>
  <si>
    <t>remove the added products from the cart</t>
  </si>
  <si>
    <t>try to remove the added products from the cart by pressin on "remove " button on the products</t>
  </si>
  <si>
    <t>1-open "https://www.saucedemo.com/" website
2-enter "problem_user" in the username
3-enter "secret_sauce" in the password
4-press login button
5-from the products
6-click "remove" button for each added  products</t>
  </si>
  <si>
    <t>https://drive.google.com/file/d/1OVoYmJYodt4BX3kir9dQm8UUYmcZFUDa/view?usp=drive_link</t>
  </si>
  <si>
    <t>all the products are removed from the cart</t>
  </si>
  <si>
    <t>the products did not removed from the cart</t>
  </si>
  <si>
    <t>add (Sauce Labs Backpack) product to the cart</t>
  </si>
  <si>
    <t xml:space="preserve">try to add (Sauce Labs Backpack) product to the cart </t>
  </si>
  <si>
    <t xml:space="preserve">1-open "https://www.saucedemo.com/" website
2-enter "problem_user" in the username
3-enter "secret_sauce" in the password
4-press login button
5-from the products click on (Sauce Labs Backpack )product
6-this product page will appear
7-click on add to cart button for this product </t>
  </si>
  <si>
    <t>https://drive.google.com/file/d/1tjOSLXsMRjpYORaizwa1LPVCyEb69P1g/view?usp=drive_link</t>
  </si>
  <si>
    <t>this product is added</t>
  </si>
  <si>
    <t>the product hasnot been added</t>
  </si>
  <si>
    <t>add (Sauce Labs Bike Light) product to the cart</t>
  </si>
  <si>
    <t xml:space="preserve">try to add (Sauce Labs Bike Light) product to the cart </t>
  </si>
  <si>
    <t xml:space="preserve">1-open "https://www.saucedemo.com/" website
2-enter "problem_user" in the username
3-enter "secret_sauce" in the password
4-press login button
5-from the products click on (Sauce Labs Bike Light)product
6-this product page will appear
7-click on add to cart button for this product </t>
  </si>
  <si>
    <t xml:space="preserve"> https://drive.google.com/file/d/1q9sIcrOMyUwPbZL8MPk8uOF2wuLgkZrh/view?usp=drive_link</t>
  </si>
  <si>
    <t>add (Sauce Labs Bolt T-Shirt) product to the cart</t>
  </si>
  <si>
    <t xml:space="preserve">try to add (Sauce Labs Bolt T-Shirt) product to the cart </t>
  </si>
  <si>
    <t xml:space="preserve">1-open "https://www.saucedemo.com/" website
2-enter "problem_user" in the username
3-enter "secret_sauce" in the password
4-press login button
5-from the products click on (Sauce Labs Bolt T-Shirt)product
6-this product page will appear
7-click on add to cart button for this product </t>
  </si>
  <si>
    <t>https://drive.google.com/file/d/1_urO_OChBrFHf54DA8JYxg-Fmszqw9Hy/view?usp=drive_link</t>
  </si>
  <si>
    <t>the product is added</t>
  </si>
  <si>
    <t xml:space="preserve">the product (Sauce Labs Bolt T-Shirt) hasnot been added but product (Sauce Labs Onesie) has added instead </t>
  </si>
  <si>
    <t>add (Sauce Labs Onesie) product to the cart</t>
  </si>
  <si>
    <t xml:space="preserve">try to add (Sauce Labs Onesie) product to the cart </t>
  </si>
  <si>
    <t xml:space="preserve">1-open "https://www.saucedemo.com/" website
2-enter "problem_user" in the username
3-enter "secret_sauce" in the password
4-press login button
5-from the products click on (Sauce Labs Onesie)product
6-this product page will appear
7-click on add to cart button for this product </t>
  </si>
  <si>
    <t>https://drive.google.com/file/d/1TM09SDE-RPvO_RavhexpvW8REQ5D8H7I/view?usp=drive_link</t>
  </si>
  <si>
    <t>checkout</t>
  </si>
  <si>
    <t>go to check out page</t>
  </si>
  <si>
    <t xml:space="preserve">try to go to check out page </t>
  </si>
  <si>
    <t>open (problem_user) user
must add items to the cart</t>
  </si>
  <si>
    <t xml:space="preserve">1-open "https://www.saucedemo.com/" website
2-enter "problem_user" in the username
3-enter "secret_sauce" in the password
4-press login button
5-from the catr item on the upper right side of the page click om it
6-the cart menu page will appear click on "checkout" button down right side of the bage </t>
  </si>
  <si>
    <t>checkout page appear</t>
  </si>
  <si>
    <t>enter first name</t>
  </si>
  <si>
    <t>1-open "https://www.saucedemo.com/" website
2-enter "problem_user" in the username
3-enter "secret_sauce" in the password
4-press login button
5-from the catr item on the upper right side of the page click om it
6-the cart menu page will appear click on "checkout" button down right side of the bage
7-in the first name enter first name</t>
  </si>
  <si>
    <t>first name = "yussef"</t>
  </si>
  <si>
    <t>first name is entered</t>
  </si>
  <si>
    <t>as expected</t>
  </si>
  <si>
    <t>enter last name</t>
  </si>
  <si>
    <t>1-open "https://www.saucedemo.com/" website
2-enter "problem_user" in the username
3-enter "secret_sauce" in the password
4-press login button
5-from the catr item on the upper right side of the page click om it
6-the cart menu page will appear click on "checkout" button down right side of the bage
7-in the last name enter last name</t>
  </si>
  <si>
    <t>last name = "ali"
https://drive.google.com/file/d/1pHw723x9IGamTR7EtVR9SillwpBpRw9T/view?usp=drive_link</t>
  </si>
  <si>
    <t>last name is entered</t>
  </si>
  <si>
    <t>as the video</t>
  </si>
  <si>
    <t>enter (ZIP/postal code)</t>
  </si>
  <si>
    <t>1-open "https://www.saucedemo.com/" website
2-enter "problem_user" in the username
3-enter "secret_sauce" in the password
4-press login button
5-from the catr item on the upper right side of the page click om it
6-the cart menu page will appear click on "checkout" button down right side of the bage
7-in the postal code enter your country postal code</t>
  </si>
  <si>
    <t>zip/postalcode = 000</t>
  </si>
  <si>
    <t>ZIP/postal code is entered</t>
  </si>
  <si>
    <t>TEST SUITE : Peformance Glitch User</t>
  </si>
  <si>
    <t>Performance Glitch User Login happy scenario</t>
  </si>
  <si>
    <t>Try Loging in with the given username and password for the program glitch user</t>
  </si>
  <si>
    <t>1. SwagLabs Login Page running with no Active sessions</t>
  </si>
  <si>
    <t>1. Go to https://www.saucedemo.com/v1/
2. enter the valid PGU data (Username and Password)
3. click LOGIN</t>
  </si>
  <si>
    <t>Username : performance_glitch_user
Password : secret_sauce</t>
  </si>
  <si>
    <t>1. Login success no errors given
2. redirect to SWAGLABS landing page</t>
  </si>
  <si>
    <t>SWAGLABS landing page</t>
  </si>
  <si>
    <t>AY</t>
  </si>
  <si>
    <t>Cycle 1 – Functional Testing</t>
  </si>
  <si>
    <t>Performance Glitch User Login empty scenario</t>
  </si>
  <si>
    <t>Try Loging in with no data entry</t>
  </si>
  <si>
    <t>1. Go to https://www.saucedemo.com/v1/
2. click LOGIN</t>
  </si>
  <si>
    <t>Username : EMPTY
Password : EMPTY</t>
  </si>
  <si>
    <t xml:space="preserve">1. Login Fail 
2. Throw Error Message
</t>
  </si>
  <si>
    <t>SWAGLABS Login page</t>
  </si>
  <si>
    <t>Performance Glitch User Login empty username scenario</t>
  </si>
  <si>
    <t>Try Loging in with the given username and NO password for the program glitch user</t>
  </si>
  <si>
    <t>1. Go to https://www.saucedemo.com/v1/
2. enter the valid PGU data (Username only)
3. click LOGIN</t>
  </si>
  <si>
    <t>Username : performance_glitch_user
Password :EMPTY</t>
  </si>
  <si>
    <t xml:space="preserve">1. Login Fail 
2. Throw Error Message for  Password
</t>
  </si>
  <si>
    <t>PerformanceGlitch User Login empty Password scenario</t>
  </si>
  <si>
    <t>Try Loging in with the given passowr and NO username for the program glitch user</t>
  </si>
  <si>
    <t>1. Go to https://www.saucedemo.com/v1/
2. enter the valid PGU data (Password only)
3. click LOGIN</t>
  </si>
  <si>
    <t>Username : EMPTY
Password : secret_sauce</t>
  </si>
  <si>
    <t xml:space="preserve">1. Login Fail 
2. Throw Error Message for  Username
</t>
  </si>
  <si>
    <t>Menu</t>
  </si>
  <si>
    <t>Performance Glitch User Accessing Hamburger menu</t>
  </si>
  <si>
    <t>Try Hamburger Menu Functionality</t>
  </si>
  <si>
    <t xml:space="preserve">1. SwagLabs Landing Page running </t>
  </si>
  <si>
    <t>1. Go to https://www.saucedemo.com/v1/
2. enter the valid PGU data
3. click LOGIN
4. Click on hamburger menu on top left screen</t>
  </si>
  <si>
    <t>1. Login success no errors given
2. Redirect to SWAGLABS landing page
3. Hamburger menu slides from side</t>
  </si>
  <si>
    <t>SWAGLABS Landing page</t>
  </si>
  <si>
    <t>Performance Glitch User Accessing Hamburger menu and validating buttons</t>
  </si>
  <si>
    <t>Try Hamburger Menu Buttons Functionality</t>
  </si>
  <si>
    <t>1. Go to https://www.saucedemo.com/v1/
2. enter the valid PGU data
3. click LOGIN
4. Click on hamburger menu on top left screen
5. Click on About
6. Click on All items
7. Click on Logout</t>
  </si>
  <si>
    <t>1. Login success no errors given
2. Redirect to SWAGLABS landing page
3. Hamburger menu slides from side
4. About new tab opens
5. Redirect to All items page
6. Logs out</t>
  </si>
  <si>
    <t>Landing Page</t>
  </si>
  <si>
    <t>Performance Glitch User Accessing Footer Links in landing page</t>
  </si>
  <si>
    <t>Try Hyperlinked icons functionality</t>
  </si>
  <si>
    <t>1. Go to https://www.saucedemo.com/v1/
2. enter the valid PGU data
3. click LOGIN
4. Scroll down
5. click on Facebook icon
6. click on Twitter icon
7. click on LinkedIn icon</t>
  </si>
  <si>
    <t>1. Login success no errors given
2. Redirect to SWAGLABS landing page
3. Opens New tab that redirects to Saucelabs Facebook page
4. Opens New tab that redirects to Saucelabs Twitter page
5. Opens New tab that redirects to Saucelabs LinkedIn page</t>
  </si>
  <si>
    <t>Performance Glitch User Accessing Cart From Landing Page</t>
  </si>
  <si>
    <t>Try Progressing to cart from landing page</t>
  </si>
  <si>
    <t>1. Go to https://www.saucedemo.com/v1/
2. enter the valid PGU data
3. click LOGIN
4. Click on cart icon from top right corner</t>
  </si>
  <si>
    <t>1. Login success no errors given
2. Redirect to SWAGLABS landing page
3. Redirect to Cart Page</t>
  </si>
  <si>
    <t>Performance Glitch User Can add products to cart from Landing page</t>
  </si>
  <si>
    <t>Try Adding to cart from landing page</t>
  </si>
  <si>
    <t>1. Go to https://www.saucedemo.com/v1/
2. enter the valid PGU data
3. click LOGIN
4. Click on "Add To Cart" for all products in Landing page</t>
  </si>
  <si>
    <t>1. Login success no errors given
2. Redirect to SWAGLABS landing page
3. Adds successfully and number of cart products increases</t>
  </si>
  <si>
    <t>Try Adding to cart from landing page check all buttons responsivness and functionality</t>
  </si>
  <si>
    <t>Performance Glitch User Can access each product page through it's image in landing page</t>
  </si>
  <si>
    <t xml:space="preserve">Try Accessing Products page from their image </t>
  </si>
  <si>
    <t>1. Go to https://www.saucedemo.com/v1/
2. enter the valid PGU data
3. click LOGIN
4. Click on each Products image in landing page</t>
  </si>
  <si>
    <t>1. Login success no errors given
2. Redirect to SWAGLABS landing page
3.  redirected to each product page</t>
  </si>
  <si>
    <t>Performance Glitch User Can access each product page through it's name in landing page</t>
  </si>
  <si>
    <t xml:space="preserve">Try Accessing Products page from their name </t>
  </si>
  <si>
    <t>1. Go to https://www.saucedemo.com/v1/
2. enter the valid PGU data
3. click LOGIN
4. Click on each Products name in landing page</t>
  </si>
  <si>
    <t>Product page , Landing page</t>
  </si>
  <si>
    <t>Performance Glitch User sees no similarity error for each product's landing page details and product page details</t>
  </si>
  <si>
    <t xml:space="preserve">Check the product page and product in landing page are matching in each aspect </t>
  </si>
  <si>
    <t>1. Go to https://www.saucedemo.com/v1/
2. enter the valid PGU data
3. click LOGIN
4. go to each product's product page
5. check Title,Image,Description and price matching</t>
  </si>
  <si>
    <t>1. Login success no errors given
2. Redirect to SWAGLABS landing page
3. Redirected to each product page successfully
4. Title, Image,  Description and Price are matching</t>
  </si>
  <si>
    <t>Landing page, Sorting</t>
  </si>
  <si>
    <t>Performance Glitch User Can Sort the product in landing page  to his liking</t>
  </si>
  <si>
    <t>Sort Products in landing page and check if sorted correctly</t>
  </si>
  <si>
    <t>1. Go to https://www.saucedemo.com/v1/
2. enter the valid PGU data
3. click LOGIN
4. Click and choose sorting type from the drop down menu</t>
  </si>
  <si>
    <t>1. Login success no errors given
2. Redirect to SWAGLABS landing page
3. Each sorting type is done successfully</t>
  </si>
  <si>
    <t>Performance Glitch User can Add to Cart and Remove from cart in each Product Page</t>
  </si>
  <si>
    <t>check the product page buttons functionality</t>
  </si>
  <si>
    <t>1. Go to https://www.saucedemo.com/v1/
2. enter the valid PGU data
3. click LOGIN
4. go to each product's product page
5. Click on each product to access it's product page 
6. try Adding and removing from Cart</t>
  </si>
  <si>
    <t>1. Login success no errors given
2. Redirect to SWAGLABS landing page
3. Redirected to each product page successfully
4. number of products in cart change by adding and removing successfully</t>
  </si>
  <si>
    <t>Performance Glitch User can Go to main page from product page by clicking on the Swag Labs Logo in Header</t>
  </si>
  <si>
    <t>Check Logo Button Functionality</t>
  </si>
  <si>
    <t>1. Go to https://www.saucedemo.com/v1/
2. enter the valid PGU data
3. click LOGIN
4. go to each product's product page
5. Click on Swag Labs Logo in Header</t>
  </si>
  <si>
    <t>1. Login success no errors given
2. Redirect to SWAGLABS landing page
3. Redirected to each product page successfully
4. Redirect to Landing Page Successfully</t>
  </si>
  <si>
    <t>Performance Glitch User can Go to main page from product page by clicking on the Back Button</t>
  </si>
  <si>
    <t>1. Go to https://www.saucedemo.com/v1/
2. enter the valid PGU data
3. click LOGIN
4. go to each product's product page
5. Click on Back Button</t>
  </si>
  <si>
    <t>Cart Navigation</t>
  </si>
  <si>
    <t>Navigate to Landing
 Product page
 from Cart</t>
  </si>
  <si>
    <t>Verify that clicking the
 store logo on cart page
 redirects to home page</t>
  </si>
  <si>
    <t>user is on Cart page</t>
  </si>
  <si>
    <r>
      <t>1. Go to https://www.saucedemo.com/v1/
2. enter the valid PGU data 
(Username and Password)
3. click LOGIN
4-click on cart icon on the top right
5-click on the "</t>
    </r>
    <r>
      <rPr>
        <b/>
        <sz val="13"/>
        <color rgb="FFFF0000"/>
        <rFont val="Calibri"/>
        <family val="2"/>
        <scheme val="minor"/>
      </rPr>
      <t>SWAG</t>
    </r>
    <r>
      <rPr>
        <sz val="13"/>
        <color rgb="FFFF0000"/>
        <rFont val="Calibri"/>
        <family val="2"/>
        <scheme val="minor"/>
      </rPr>
      <t xml:space="preserve">LAPS" </t>
    </r>
    <r>
      <rPr>
        <sz val="13"/>
        <rFont val="Calibri"/>
        <family val="2"/>
        <scheme val="minor"/>
      </rPr>
      <t xml:space="preserve">icon on the top middle page </t>
    </r>
  </si>
  <si>
    <t>Username:performance_glitch_user
password:secret_sauce</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</si>
  <si>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an empty cart page
4-navigation to </t>
    </r>
    <r>
      <rPr>
        <b/>
        <sz val="13"/>
        <color rgb="FFFF0000"/>
        <rFont val="Calibri"/>
        <family val="2"/>
        <scheme val="minor"/>
      </rPr>
      <t>SWAG</t>
    </r>
    <r>
      <rPr>
        <sz val="13"/>
        <color rgb="FFFF0000"/>
        <rFont val="Calibri"/>
        <family val="2"/>
        <scheme val="minor"/>
      </rPr>
      <t>LAPS</t>
    </r>
    <r>
      <rPr>
        <sz val="13"/>
        <color theme="1"/>
        <rFont val="Calibri"/>
        <family val="2"/>
        <scheme val="minor"/>
      </rPr>
      <t xml:space="preserve"> landing page</t>
    </r>
  </si>
  <si>
    <t>Navigation works properly</t>
  </si>
  <si>
    <r>
      <t xml:space="preserve">1.navigates you to </t>
    </r>
    <r>
      <rPr>
        <b/>
        <sz val="13"/>
        <color rgb="FFFF0000"/>
        <rFont val="Calibri"/>
        <family val="2"/>
        <scheme val="minor"/>
      </rPr>
      <t>SWAG</t>
    </r>
    <r>
      <rPr>
        <sz val="13"/>
        <color rgb="FFFF0000"/>
        <rFont val="Calibri"/>
        <family val="2"/>
        <scheme val="minor"/>
      </rPr>
      <t>LAPS</t>
    </r>
    <r>
      <rPr>
        <sz val="13"/>
        <color theme="1"/>
        <rFont val="Calibri"/>
        <family val="2"/>
        <scheme val="minor"/>
      </rPr>
      <t xml:space="preserve"> login page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an empty cart page
4-</t>
    </r>
    <r>
      <rPr>
        <b/>
        <sz val="13"/>
        <color rgb="FFFF0000"/>
        <rFont val="Calibri"/>
        <family val="2"/>
        <scheme val="minor"/>
      </rPr>
      <t>SWAG</t>
    </r>
    <r>
      <rPr>
        <sz val="13"/>
        <color rgb="FFFF0000"/>
        <rFont val="Calibri"/>
        <family val="2"/>
        <scheme val="minor"/>
      </rPr>
      <t>LAPS</t>
    </r>
    <r>
      <rPr>
        <sz val="13"/>
        <color theme="1"/>
        <rFont val="Calibri"/>
        <family val="2"/>
        <scheme val="minor"/>
      </rPr>
      <t xml:space="preserve"> icon is unclickable</t>
    </r>
  </si>
  <si>
    <t>E. S.</t>
  </si>
  <si>
    <t>Navigate to Landing
 Product page from Cart</t>
  </si>
  <si>
    <t>Verify that clicking the
"Continue Shopping" button
on cart page
 redirects to home page</t>
  </si>
  <si>
    <t>1. Go to https://www.saucedemo.com/v1/
2. enter the valid PGU data 
(Username and Password)
3. click LOGIN
4-click on cart icon on the top right
5-click on the "Continue Shopping" button</t>
  </si>
  <si>
    <t>Navigate to Checkout page from Cart</t>
  </si>
  <si>
    <t>Verify that clicking the
"CHECKOUT" button
on cart page
 redirects to checkout page</t>
  </si>
  <si>
    <t>1. Go to https://www.saucedemo.com/v1/
2. enter the valid PGU data 
(Username and Password)
3. click LOGIN
4-click on cart icon on the top right
5-click on the "CHECKOUT" button</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</si>
  <si>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an empty cart page
4-navigation to </t>
    </r>
    <r>
      <rPr>
        <sz val="13"/>
        <rFont val="Calibri"/>
        <family val="2"/>
        <scheme val="minor"/>
      </rPr>
      <t>Checkout: Your Information</t>
    </r>
  </si>
  <si>
    <t>Display Product Info</t>
  </si>
  <si>
    <t>Verify product listing 
displays name, photo &amp; description</t>
  </si>
  <si>
    <t>Product already added to cart</t>
  </si>
  <si>
    <t xml:space="preserve">1. Go to https://www.saucedemo.com/v1/
2. enter the valid PGU data 
(Username and Password)
3. click LOGIN
4-add any product
5-click on cart icon on the top right
</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</si>
  <si>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with 1 product in it
4-product is added with name quantity and description matching to product</t>
    </r>
  </si>
  <si>
    <t>N/A</t>
  </si>
  <si>
    <t>Product Browsing</t>
  </si>
  <si>
    <t>Access Product Page</t>
  </si>
  <si>
    <t>Verify clicking a product in cart opens its product page</t>
  </si>
  <si>
    <t xml:space="preserve">1. Go to https://www.saucedemo.com/v1/
2. enter the valid PGU data 
(Username and Password)
3. click LOGIN
4-add all products on landing page
5-click on cart icon on the top right
6-click on the product name </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</si>
  <si>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with 1 product in it
4-redirects you to the choosen product page</t>
    </r>
  </si>
  <si>
    <t>Product page loads 
with full details</t>
  </si>
  <si>
    <t>Cart Operations</t>
  </si>
  <si>
    <t>Change Product Quantity</t>
  </si>
  <si>
    <t>Verify user can 
adjust product quantity in cart</t>
  </si>
  <si>
    <t>1. Go to https://www.saucedemo.com/v1/
2. enter the valid PGU data 
(Username and Password)
3. click LOGIN
4-add any product
4-click on cart icon on the top right
5-click on the "1" in the "QTY" coloumn ,change it to "2"</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</si>
  <si>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with 1 product in it
4-Qty changes from "1" to "2"</t>
    </r>
  </si>
  <si>
    <t>Updated cart saved in session</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</si>
  <si>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with 1 product in iy
4-Qty is unchangeable</t>
    </r>
  </si>
  <si>
    <t>Add Multiple Products</t>
  </si>
  <si>
    <t>Verify user can add multiple items to cart</t>
  </si>
  <si>
    <t xml:space="preserve">1. Go to https://www.saucedemo.com/v1/
2. enter the valid PGU data 
(Username and Password)
3. click LOGIN
4-add all products on landing page
5-click on cart icon on the top right without limit
</t>
  </si>
  <si>
    <t>Cart session updates</t>
  </si>
  <si>
    <t>Cart Sorting/Display</t>
  </si>
  <si>
    <t>View Items in Insert Order</t>
  </si>
  <si>
    <t>Verify that items appear in the same order
 they were added</t>
  </si>
  <si>
    <t>Multiple products
 already added</t>
  </si>
  <si>
    <t xml:space="preserve">1. Go to https://www.saucedemo.com/v1/
2. enter the valid PGU data 
(Username and Password)
3. click LOGIN
4-add 4 products
5-click on cart icon on the top right
</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</si>
  <si>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with 4  products in it
4-redirects you to the choosen product page
5-all products are added in the same order added</t>
    </r>
  </si>
  <si>
    <t>Order stored correctly</t>
  </si>
  <si>
    <t>Cart Removal</t>
  </si>
  <si>
    <t>Remove Products</t>
  </si>
  <si>
    <t>Verify user can remove items from cart</t>
  </si>
  <si>
    <t>Multiple products exist in cart</t>
  </si>
  <si>
    <t xml:space="preserve">1. Go to https://www.saucedemo.com/v1/
2. enter the valid PGU data 
(Username and Password)
3. click LOGIN
4-add 4 products
5-click on cart icon on the top right
6-click on "REMOVE" beside the products
</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</si>
  <si>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with multiple  products in it
4-redirects you to the choosen product page
5-all products are removed from cart</t>
    </r>
  </si>
  <si>
    <t>Cart state updated</t>
  </si>
  <si>
    <t>Checkout Validation</t>
  </si>
  <si>
    <t>Checkout Only With Products</t>
  </si>
  <si>
    <t>Verify checkout button disabled if cart empty</t>
  </si>
  <si>
    <t>User logged in &amp; empty cart</t>
  </si>
  <si>
    <t>1. Go to https://www.saucedemo.com/v1/
2. enter the valid PGU data 
(Username and Password)
3. click LOGIN
4-click on cart icon on the top right
6-click on "CHECKOUT"  button</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</si>
  <si>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4-redirects you to the empty cart page
5-Checkout button disabled error messgae "</t>
    </r>
    <r>
      <rPr>
        <sz val="13"/>
        <color rgb="FFFF0000"/>
        <rFont val="Calibri"/>
        <family val="2"/>
        <scheme val="minor"/>
      </rPr>
      <t>CART IS EMPTY</t>
    </r>
    <r>
      <rPr>
        <sz val="13"/>
        <color theme="1"/>
        <rFont val="Calibri"/>
        <family val="2"/>
        <scheme val="minor"/>
      </rPr>
      <t>"</t>
    </r>
  </si>
  <si>
    <t>Checkout button is active and the process navigates you payment complete page</t>
  </si>
  <si>
    <t>Checkout – Personal Data</t>
  </si>
  <si>
    <t>Register Personal Data</t>
  </si>
  <si>
    <t>Verify that the user can register
personal data(Name and ZIP code) 
in Checkout:Your Information page</t>
  </si>
  <si>
    <t>User is logged in &amp; has a product in cart</t>
  </si>
  <si>
    <t>1. Go to https://www.saucedemo.com/v1/
2. enter the valid PGU data 
(Username and Password)
3. click LOGIN
4.add any product
5.click on cart icon on the top right
6.click on "CHECKOUT"  button
7.Enter a valid Name &amp;ZIP</t>
  </si>
  <si>
    <t>Username: performance_glitch_user
Password: secret_sauce
First Name :Esraa
Last Name :Salem
ZIP:40518</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</si>
  <si>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5-Fields accept valid input with no error</t>
    </r>
  </si>
  <si>
    <t>Data saved for next step</t>
  </si>
  <si>
    <t>Checkout – Navigation</t>
  </si>
  <si>
    <t>Cancel Checkout</t>
  </si>
  <si>
    <t>Verify CANCEL redirects back to cart</t>
  </si>
  <si>
    <t>User is on Checkout page</t>
  </si>
  <si>
    <t xml:space="preserve">1. Go to https://www.saucedemo.com/v1/
2. Enter the valid PGU data 
(Username and Password)
3. Click LOGIN
4.Add any product
5.Click on cart icon on the top right
6.Click on "CHECKOUT"  button
7.Click on "CANCEL" </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</si>
  <si>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5-Fields accept valid input with no error
6-redirects you to cart page</t>
    </r>
  </si>
  <si>
    <t>Cart unchanged</t>
  </si>
  <si>
    <t>Continue Checkout</t>
  </si>
  <si>
    <t>Verify CONTINUE leads to Overview page</t>
  </si>
  <si>
    <t>User entered valid checkout info</t>
  </si>
  <si>
    <t xml:space="preserve">1. Go to https://www.saucedemo.com/v1/
2. Enter the valid PGU data 
(Username and Password)
3. Click LOGIN
4.Add any product
5.Click on cart icon on the top right
6.Click on "CHECKOUT"  button
7.Enter a valid Name &amp;ZIP
8.Click on "CONTINUE" </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</si>
  <si>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5-Fields accept valid input with no error
6-redirects you to products overview page</t>
    </r>
  </si>
  <si>
    <t>Information carried forward</t>
  </si>
  <si>
    <t>Access Home from Checkout</t>
  </si>
  <si>
    <t>Verify clicking store logo goes to home page</t>
  </si>
  <si>
    <t>User is on any checkout step</t>
  </si>
  <si>
    <r>
      <t>1. Go to https://www.saucedemo.com/v1/
2. Enter the valid PGU data 
(Username and Password)
3. Click LOGIN
4.Add any product
5.Click on cart icon on the top right
6.Click on "CHECKOUT"  button
7.Click on "CONTINUE" 
8-Click on "</t>
    </r>
    <r>
      <rPr>
        <b/>
        <sz val="13"/>
        <color theme="1"/>
        <rFont val="Calibri"/>
        <family val="2"/>
        <scheme val="minor"/>
      </rPr>
      <t>SWAG</t>
    </r>
    <r>
      <rPr>
        <sz val="13"/>
        <color theme="1"/>
        <rFont val="Calibri"/>
        <family val="2"/>
        <scheme val="minor"/>
      </rPr>
      <t>LABS" logo</t>
    </r>
  </si>
  <si>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5-Fields accept valid input with no error
6-redirects you to landing page</t>
    </r>
  </si>
  <si>
    <t>User remains logged in</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</si>
  <si>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5-Fields accept valid input with no error
6-logo is not clickable</t>
    </r>
  </si>
  <si>
    <t>Checkout Security</t>
  </si>
  <si>
    <t>Restrict Unregistered User</t>
  </si>
  <si>
    <t>Verify unregistered user cannot access Checkout pages</t>
  </si>
  <si>
    <t>User is logged out</t>
  </si>
  <si>
    <t>1. Go to https://www.saucedemo.com/v1/
2. enter the valid PGU data 
(Username and Password)
3. click LOGIN
4.add any product
5.click on cart icon on the top right
6.click on "CHECKOUT"  button
7.Leave Name &amp;ZIP Empty</t>
  </si>
  <si>
    <t>Username: performance_glitch_user
Password: secret_sauce
First Name :blank
Last Name :blank
ZIP:blank</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</si>
  <si>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5-Error message "these fields can't be Empty"</t>
    </r>
  </si>
  <si>
    <t>No access allowed</t>
  </si>
  <si>
    <t>Critical</t>
  </si>
  <si>
    <t>Overview Page</t>
  </si>
  <si>
    <t>Display Cart Items</t>
  </si>
  <si>
    <t>Verify overview shows Name, Qty, Description</t>
  </si>
  <si>
    <t>User on Overview page</t>
  </si>
  <si>
    <t xml:space="preserve">1. Go to https://www.saucedemo.com/v1/
2. Enter the valid PGU data 
(Username and Password)
3. Click LOGIN
4.Add any product
5.Click on cart icon on the top right
6.Click on "CHECKOUT"  button
7.Enter a valid Name &amp; Zip
8.Click on "CONTINUE" 
</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</si>
  <si>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5.redirects you to products overview page
6.All products in cart page should be displayed the same on the overview page</t>
    </r>
  </si>
  <si>
    <t>Data ready for completion</t>
  </si>
  <si>
    <t>Display Payment Info</t>
  </si>
  <si>
    <t>Verify payment information is displayed</t>
  </si>
  <si>
    <t xml:space="preserve">1. Go to https://www.saucedemo.com/v1/
2. Enter the valid PGU data 
(Username and Password)
3. Click LOGIN
4.Add any product
5.Click on cart icon on the top right
6.Click on "CHECKOUT"  button
7.Enter a valid Name &amp; Zip
7.Click on "CONTINUE" 
</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</si>
  <si>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5.redirects you to products overview page
6.Payment Information are displayed (Card number)</t>
    </r>
  </si>
  <si>
    <t>Display Shipping Info</t>
  </si>
  <si>
    <t>Verify shipping information is displayed</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</si>
  <si>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5.redirects you to products overview page
6.Shipping Information are displayed</t>
    </r>
  </si>
  <si>
    <t>Overview – Pricing</t>
  </si>
  <si>
    <t>Display Total</t>
  </si>
  <si>
    <t>Verify total is calculated correctly</t>
  </si>
  <si>
    <t>Items in cart</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</si>
  <si>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5.redirects you to products overview page
6.total reflects the correct price (Calculations are right)</t>
    </r>
  </si>
  <si>
    <t>Display Item Total &amp; Tax</t>
  </si>
  <si>
    <t>Verify item total and tax appear correctly</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</si>
  <si>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5.redirects you to products overview page
6.every item corresponds to it's viewed price on landing page 
7.tax is </t>
    </r>
    <r>
      <rPr>
        <sz val="13"/>
        <color rgb="FFFF0000"/>
        <rFont val="Calibri"/>
        <family val="2"/>
        <scheme val="minor"/>
      </rPr>
      <t xml:space="preserve">8% </t>
    </r>
    <r>
      <rPr>
        <sz val="13"/>
        <color theme="1"/>
        <rFont val="Calibri"/>
        <family val="2"/>
        <scheme val="minor"/>
      </rPr>
      <t>of the item total</t>
    </r>
  </si>
  <si>
    <t>Cancel from Overview</t>
  </si>
  <si>
    <t>Verify CANCEL returns to cart from overview</t>
  </si>
  <si>
    <t xml:space="preserve">1. Go to https://www.saucedemo.com/v1/
2. Enter the valid PGU data 
(Username and Password)
3. Click LOGIN
4.Add any product
5.Click on cart icon on the top right
6.Click on "CHECKOUT"  button
7.Enter a valid Name &amp; Zip
8.Click on "CONTINUE" 
9.Click on "CANCEL"
</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</si>
  <si>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5.redirects you to products overview page
6.redirects you to the landing page</t>
    </r>
  </si>
  <si>
    <t>Products in cart remain unchanged</t>
  </si>
  <si>
    <t>Checkout – Completion</t>
  </si>
  <si>
    <t>Finish Checkout</t>
  </si>
  <si>
    <t>Verify FINISH completes the checkout</t>
  </si>
  <si>
    <t xml:space="preserve">1. Go to https://www.saucedemo.com/v1/
2. Enter the valid PGU data 
(Username and Password)
3. Click LOGIN
4.Add any product
5.Click on cart icon on the top right
6.Click on "CHECKOUT"  button
7.Enter a valid Name &amp; Zip
8.Click on "CONTINUE" 
9.Click on "Finish"
</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</si>
  <si>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5.redirects you to products overview page
6.Redirect to Checkout Complete page</t>
    </r>
  </si>
  <si>
    <t>Checkout successful</t>
  </si>
  <si>
    <t>Cart – Post-Checkout</t>
  </si>
  <si>
    <t>Cart Empty After Finish</t>
  </si>
  <si>
    <t>Verify cart becomes empty after checkout</t>
  </si>
  <si>
    <t>User completed checkout</t>
  </si>
  <si>
    <t xml:space="preserve">1. Go to https://www.saucedemo.com/v1/
2. Enter the valid PGU data 
(Username and Password)
3. Click LOGIN
4.Add any product
5.Click on cart icon on the top right
6.Click on "CHECKOUT"  button
7.Enter a valid Name &amp; Zip
8.Click on "CONTINUE" 
9.Click on "Finish"
10.Click on Cart icon on top 
</t>
  </si>
  <si>
    <r>
      <t xml:space="preserve">1.navigates you to </t>
    </r>
    <r>
      <rPr>
        <b/>
        <sz val="13"/>
        <color rgb="FFFF0000"/>
        <rFont val="Calibri"/>
        <family val="2"/>
        <scheme val="minor"/>
      </rPr>
      <t>SWAG</t>
    </r>
    <r>
      <rPr>
        <sz val="13"/>
        <color rgb="FFFF0000"/>
        <rFont val="Calibri"/>
        <family val="2"/>
        <scheme val="minor"/>
      </rPr>
      <t>LAPS</t>
    </r>
    <r>
      <rPr>
        <sz val="13"/>
        <rFont val="Calibri"/>
        <family val="2"/>
        <scheme val="minor"/>
      </rPr>
      <t xml:space="preserve"> login page</t>
    </r>
    <r>
      <rPr>
        <sz val="13"/>
        <color theme="1"/>
        <rFont val="Calibri"/>
        <family val="2"/>
        <scheme val="minor"/>
      </rPr>
      <t xml:space="preserve">
2. Login success no errors given
3. redirect to </t>
    </r>
    <r>
      <rPr>
        <b/>
        <sz val="13"/>
        <color rgb="FFFF0000"/>
        <rFont val="Calibri"/>
        <family val="2"/>
        <scheme val="minor"/>
      </rPr>
      <t>SWAG</t>
    </r>
    <r>
      <rPr>
        <sz val="13"/>
        <color rgb="FFFF0000"/>
        <rFont val="Calibri"/>
        <family val="2"/>
        <scheme val="minor"/>
      </rPr>
      <t>LABS</t>
    </r>
    <r>
      <rPr>
        <sz val="13"/>
        <color theme="1"/>
        <rFont val="Calibri"/>
        <family val="2"/>
        <scheme val="minor"/>
      </rPr>
      <t xml:space="preserve"> landing page
3-redirects you to a cart page one product in it
4-redirects you to the checkout page 
5.redirects you to products overview page
6.Redirect to Checkout Complete page
7.Redirects you to an Empty Cart page</t>
    </r>
  </si>
  <si>
    <t>Login Response Time Validation</t>
  </si>
  <si>
    <t>Verify that login completes within acceptable response time and does not freeze or delay excessively when entering username and password.</t>
  </si>
  <si>
    <t>User has valid login credentials; user is on login page.</t>
  </si>
  <si>
    <t>1. Go to https://www.saucedemo.com/v1/
2. Enter valid username into the Username field
3. Enter valid password into the Password field
4. Click the LOGIN button
5. Observe the response time and UI behavior until landing page loads</t>
  </si>
  <si>
    <t xml:space="preserve">Username: performance_glitch_user
Password: secret_sauce
</t>
  </si>
  <si>
    <t>Login should successfully redirect to the landing product page within 1–2 seconds, with no freezing, lag, or delayed UI response.</t>
  </si>
  <si>
    <t>User logged into the system.</t>
  </si>
  <si>
    <t xml:space="preserve">Login redirect to the landing product page within 8 second with a freez </t>
  </si>
  <si>
    <t>Cycle 2 – preformance Testing</t>
  </si>
  <si>
    <t>Add to cart</t>
  </si>
  <si>
    <t>Add Products to Cart Without Lag</t>
  </si>
  <si>
    <t>Verify that adding products to the cart happens without lag, delay, or UI freeze. </t>
  </si>
  <si>
    <t>User is logged in and on the product landing page. </t>
  </si>
  <si>
    <t>1.Go to https://www.saucedemo.com/v1/
2.Enter valid PGU data (Username &amp; Password)
3.Click LOGIN
4.On the landing page, click ADD TO CART for multiple products (1–6 items)
5.Observe UI while adding each item
6.Open the Cart page to verify products added</t>
  </si>
  <si>
    <t>1.Login succeeds with no delay
2.Each “ADD TO CART” click responds instantly (no lag or freezing)
3.Product count updates immediately
4.Cart opens successfully showing all added products</t>
  </si>
  <si>
    <t>Cart updated with selected products.</t>
  </si>
  <si>
    <t>Smooth Navigation to Cart Page</t>
  </si>
  <si>
    <t>Verify that clicking the cart icon smoothly navigates the user to the Cart page without lag, delay, or UI freeze.</t>
  </si>
  <si>
    <t>User is logged in and on the product landing page.</t>
  </si>
  <si>
    <t>1.Go to https://www.saucedemo.com/v1/
2.Enter valid PGU data (Username and Password)
3.Click LOGIN
4.Wait for landing page to load
5.Click the Cart icon at the top-right of the page
6.Observe the transition/navigation to the Cart page</t>
  </si>
  <si>
    <t>1.Login succeeds with no errors
2.Clicking the cart icon immediately redirects the user to the Cart page
3.No visible lag, delay, stutter, or UI freeze occurs
4.Cart page loads completely and displays cart contents (empty or with items)</t>
  </si>
  <si>
    <t>User is on the Cart page.</t>
  </si>
  <si>
    <t>Remove from cart</t>
  </si>
  <si>
    <t>Remove Products from Cart Without Lag</t>
  </si>
  <si>
    <t>Verify that removing items from the cart happens smoothly with no lag, delay, or UI freeze.</t>
  </si>
  <si>
    <t>User is logged in &amp; has at least one product added to the cart.</t>
  </si>
  <si>
    <t>1.Go to https://www.saucedemo.com/v1/
2.Enter valid PGU data (Username and Password)
3.Click LOGIN
4.Add multiple products from the landing page
5.Click the Cart icon
6.Click REMOVE beside each product
7.Observe UI responsiveness and the speed of removal
8.Confirm product list updates instantly</t>
  </si>
  <si>
    <t>1.Login succeeds normally
2.Cart page loads without delay
3.Clicking REMOVE immediately removes the item from the cart
4.No lag, UI freeze, or delayed update occurs
5.Cart count updates instantly</t>
  </si>
  <si>
    <t>Cart is updated and only remaining items (if any) appear.</t>
  </si>
  <si>
    <t>Continue shopping button Performance</t>
  </si>
  <si>
    <t>Back to Shopping” Button Navigation Without Lag</t>
  </si>
  <si>
    <t>Verify that clicking the “Back to Shopping” button on the Cart page navigates smoothly back to the product landing page with no lag or UI delay</t>
  </si>
  <si>
    <t>User is logged in and on the Cart page with at least one product added</t>
  </si>
  <si>
    <t>1.Go to https://www.saucedemo.com/v1/
2.Enter valid PGU data (Username and Password)
3.Click LOGIN
4.Add multiple products from the landing page
5.Click the Cart icon
6.Click the “Back to Shopping” button
7.Observe UI responsiveness and the speed of navigation</t>
  </si>
  <si>
    <t xml:space="preserve">1.Login succeeds normally
2.Cart page loads without delay
3.Clicking continue Shopping immediately removes the item from the cart
4.No lag, UI freeze, or delayed update occurs
</t>
  </si>
  <si>
    <t>User is on the product landing page</t>
  </si>
  <si>
    <t xml:space="preserve">button redirect you the landing product page within 8 second with a freez </t>
  </si>
  <si>
    <t>Remove Item Performance</t>
  </si>
  <si>
    <t>Remove Item From Product Page Without Lag</t>
  </si>
  <si>
    <t>Verify that removing an item directly from the product page using the REMOVE button does not lag or freeze.</t>
  </si>
  <si>
    <t>User is logged in and on the product landing page with at least one product added.</t>
  </si>
  <si>
    <t>1.Go to https://www.saucedemo.com/v1/
2.Enter valid PGU data (Username &amp; Password)
3.Click LOGIN
4.Add any product
5.Click the “REMOVE” button on the product card
6.Observe UI responsiveness and removal speed</t>
  </si>
  <si>
    <t>Username: performance_glitch_user
Password: secret_sauce</t>
  </si>
  <si>
    <t>1.Login succeeds normally
2.Landing page loads instantly
3.Clicking REMOVE immediately removes the product without UI freeze or delay</t>
  </si>
  <si>
    <t>Product removed successfully</t>
  </si>
  <si>
    <t>E.S.</t>
  </si>
  <si>
    <t>Menu Performance</t>
  </si>
  <si>
    <t>Hamburger Menu Opens Without Lag</t>
  </si>
  <si>
    <t>Verify that clicking the hamburger menu icon opens the left-side menu smoothly with no delay.</t>
  </si>
  <si>
    <t>User is logged in.</t>
  </si>
  <si>
    <t>1. Go to https://www.saucedemo.com/v1/
2. Enter valid username into the Username field
3. Enter valid password into the Password field
4. Click the LOGIN button4.
5.Click the hamburger menu (three-line icon)
6.Observe animation and opening responsiveness</t>
  </si>
  <si>
    <t>1.Login succeeds normally
2.Landing page loads instantly
3.Menu opens instantly without freeze or visual stutter.</t>
  </si>
  <si>
    <t>Menu opened successfully</t>
  </si>
  <si>
    <t>Selecting All Items Lags</t>
  </si>
  <si>
    <t>Verify that selecting “All Items” from the hamburger menu causes a performance delay.</t>
  </si>
  <si>
    <t>1. Go to https://www.saucedemo.com/v1/
2. Enter valid username into the Username field
3. Enter valid password into the Password field
4. Click the LOGIN button4.
5Click hamburger menu
6.Select “All Items”
7.Observe responsiveness and page loading time</t>
  </si>
  <si>
    <t>1.Login succeeds normally
2.Landing page loads instantly
3.Menu opens instantly without freeze or visual stutter.
4.Landing page should reload immediately with no freezing or delay.</t>
  </si>
  <si>
    <t>Landing page refreshed</t>
  </si>
  <si>
    <t xml:space="preserve">
1.Login button redirect you the landing product page within 8 second with a freez 
2.Menu opens instantly without freeze or visual stutter.
4.landing Page freezes ~8 seconds before loading</t>
  </si>
  <si>
    <t>About Page Navigation Without Lag</t>
  </si>
  <si>
    <t>Verify that clicking “About” from the hamburger menu does not lag.</t>
  </si>
  <si>
    <t>1. Go to https://www.saucedemo.com/v1/
2. Enter valid username into the Username field
3. Enter valid password into the Password field
4. Click the LOGIN button
3.Click hamburger menu
4.Click “About”</t>
  </si>
  <si>
    <t>1.Login succeeds normally
2.Landing page loads instantly
3.Menu opens instantly without freeze or visual stutter.
4.About page loads instantly.</t>
  </si>
  <si>
    <t>Page opened</t>
  </si>
  <si>
    <t>Low</t>
  </si>
  <si>
    <t>Logout Without Lag</t>
  </si>
  <si>
    <t>Verify that logout occurs instantly without UI delay.</t>
  </si>
  <si>
    <t>1.1.Go to website https://www.saucedemo.com/v1/
2-login 
2.Open menu
3.Click Logout</t>
  </si>
  <si>
    <t>1.Login succeeds normally
2.Landing page loads instantly
3.Menu opens instantly without freeze or visual stutter.
4.Logout immediate.</t>
  </si>
  <si>
    <t>User logged out</t>
  </si>
  <si>
    <t>Reset App State Behavior</t>
  </si>
  <si>
    <t>Verify Reset App State function responsiveness.</t>
  </si>
  <si>
    <t>User logged in.</t>
  </si>
  <si>
    <t>1. Go to https://www.saucedemo.com/v1/
2. Enter valid username into the Username field
3. Enter valid password into the Password field
4. Click the LOGIN button
5.Click hamburger menu4
6.Click Reset App State</t>
  </si>
  <si>
    <t>1.Login succeeds normally
2.Landing page loads instantly
3.Menu opens instantly without freeze or visual stutter.
4.App state resets instantly.</t>
  </si>
  <si>
    <t>Feature currently non-functional</t>
  </si>
  <si>
    <t>1.Login button redirect you the landing product page within 8 second with a freez 
2.Menu opens instantly without freeze or visual stutter.
4.app doesn't even restart (not functioning)</t>
  </si>
  <si>
    <t>Sorting Performance</t>
  </si>
  <si>
    <t>Sorting Options Lag</t>
  </si>
  <si>
    <t>Verify the sorting dropdown options cause lag.</t>
  </si>
  <si>
    <t>1. Go to https://www.saucedemo.com/v1/
2. Enter valid username into the Username field
3. Enter valid password into the Password field
4. Click the LOGIN button
5.Open sort dropdown
6..Select A-Z, Z-A, Price high, Price low
7.Observe responsiveness</t>
  </si>
  <si>
    <t>1.Login succeeds normally
2.Landing page loads instantly
3.Menu opens instantly without freeze or visual stutter.
4.Sorting occurs instantly.</t>
  </si>
  <si>
    <t>Sorted successfully</t>
  </si>
  <si>
    <t xml:space="preserve">
1.Login button redirect you the landing product page within 8 second with a freez 
4.drop down menu is appears instantly
3.sorting freezes for 8 seconds </t>
  </si>
  <si>
    <t>Checkout Performance</t>
  </si>
  <si>
    <t>Checkout Button No Lag</t>
  </si>
  <si>
    <t>Verify Checkout button on cart page responds instantly.</t>
  </si>
  <si>
    <t>User logged in &amp; product added.</t>
  </si>
  <si>
    <t>1. Go to https://www.saucedemo.com/v1/
2. Enter valid username into the Username field
3. Enter valid password into the Password field
4. Click the LOGIN button
5.Add product
6.Go to cart
7.Click Checkout</t>
  </si>
  <si>
    <t>1.Login succeeds normally
2.Landing page loads instantly
3.instant addition to cart
4.Instant redirect to Checkout: Your Information.</t>
  </si>
  <si>
    <t>Navigation successful</t>
  </si>
  <si>
    <t>Checkout Info Performance</t>
  </si>
  <si>
    <t>Continue Button No Lag</t>
  </si>
  <si>
    <t>Verify Continue button does not lag on Checkout: Your Information page.</t>
  </si>
  <si>
    <t>User logged in &amp; on Checkout info page.</t>
  </si>
  <si>
    <t>1. Go to https://www.saucedemo.com/v1/
2. Enter valid username into the Username field
3. Enter valid password into the Password field
4. Click the LOGIN button
5.Add product
6.Go to Checkout
7.Enter info
8.Click Continue</t>
  </si>
  <si>
    <t>1.Login succeeds normally
2.Landing page loads instantly
3.instant addition to cart
4.instant redirection to checkout page
3..Instant redirect to overview.</t>
  </si>
  <si>
    <t>Cancel Button Lags</t>
  </si>
  <si>
    <t>Verify Cancel button causes UI freeze before navigating back to cart.</t>
  </si>
  <si>
    <t>User on Checkout info page.</t>
  </si>
  <si>
    <t>1. Go to https://www.saucedemo.com/v1/
2. Enter valid username into the Username field
3. Enter valid password into the Password field
4. Click the LOGIN button
5.Add any product
6.navigate to cart
3.click on Checkout
4.Click Cancel
5.Observe delay</t>
  </si>
  <si>
    <t>1.Login succeeds normally
2.Landing page loads instantly
3.instant addition to cart
4.instant redirection to checkout page
5.Instant navigation back landing page</t>
  </si>
  <si>
    <t xml:space="preserve">
1..Login button redirect you the landing product page within 8 second with a freez 
2.instant addition to cart
3.instant redirection to checkout page
5. navigation back landing page Freezes before navigating for 8 seconds</t>
  </si>
  <si>
    <t>Checkout Overview Performance</t>
  </si>
  <si>
    <t>Finish Button No Lag</t>
  </si>
  <si>
    <t>Verify Finish button completes checkout without lag.</t>
  </si>
  <si>
    <t>User on Overview page.</t>
  </si>
  <si>
    <t xml:space="preserve">1. Go to https://www.saucedemo.com/v1/
2. Enter valid username into the Username field
3. Enter valid password into the Password field
4. Click the LOGIN button
5.Add any product
6.navigate to cart
7.click on Checkout 
8.click on Continue
4.Click finish
5.Observe delay
</t>
  </si>
  <si>
    <t>1.Login succeeds normally
2.Landing page loads instantly
3.instant addition to cart
4.instant redirection to checkout page
5.instant redirection to overview page
6.instant redirect to Completion page.</t>
  </si>
  <si>
    <t>Order completed</t>
  </si>
  <si>
    <t>Checkout Complete Performance</t>
  </si>
  <si>
    <t>Back Home Button Lags</t>
  </si>
  <si>
    <t>Verify Back Home button causes freeze before navigating to landing page.</t>
  </si>
  <si>
    <t>User on Complete page.</t>
  </si>
  <si>
    <t>1. Go to https://www.saucedemo.com/v1/
2. Enter valid username into the Username field
3. Enter valid password into the Password field
4. Click the LOGIN button
5.Add any product
6.navigate to cart
7.click on Checkout 
8.click on Continue
9.Click finish
10.Click Back Home
11.Observe delay</t>
  </si>
  <si>
    <t>1.Login succeeds normally
2.Landing page loads instantly
3.instant addition to cart
4.instant redirection to checkout page
5.instant redirection to overview page
6.instant redirect to Completion page.
7.Instant navigation to landing page.</t>
  </si>
  <si>
    <t xml:space="preserve">
1..Login button redirect you the landing product page within 8 second with a freez 
2.instant addition to cart
3.instant redirection to cart page
4.instant redirection to checkout page
5.instant redirection to checkout overview page
6.instant redirection to check out complete i
6. navigation back landing page Freezes before navigating for 8 seconds
</t>
  </si>
  <si>
    <t>Long Session</t>
  </si>
  <si>
    <t>Session Management – Long Session Stability</t>
  </si>
  <si>
    <t>Verify the system behavior when the user stays logged in and idle for more than 5 minutes, then tries to access any feature</t>
  </si>
  <si>
    <t>User is logged in and stays idle for at least 5 minutes without interacting with the system</t>
  </si>
  <si>
    <t>Go to https://www.saucedemo.com/v1/
Enter a valid username in the Username field
Enter a valid password in the Password field
Click the LOGIN button
Allow the session to stay idle for 5+ minutes (no clicks, no navigation)
After 5 minutes, click any feature (Cart, About, All Items, Sort options, Product Page, Checkout, etc.)
Observe whether the system maintains session or logs the user out. </t>
  </si>
  <si>
    <t>User session remains valid, OR if session expires:
 • System should redirect cleanly to login page
 • No errors should appear
All features should either open normally or show a controlled session timeout message</t>
  </si>
  <si>
    <t>After staying idle for 5 minutes, clicking any feature logs the user out and displays an error page, not a proper redirect.</t>
  </si>
  <si>
    <t>TEST SUITE : locked_out_user &amp; error_user</t>
  </si>
  <si>
    <t>Trying login with empty fields.</t>
  </si>
  <si>
    <t>Trying to login without username and password.</t>
  </si>
  <si>
    <t>1. Intenet connection.
2. The web URL(https://www.saucedemo.com/)
3. The user in the login page.</t>
  </si>
  <si>
    <t>1. Open the url link (https://www.saucedemo.com/)
2. Click on the Login button</t>
  </si>
  <si>
    <t>The login attempt should be rejected, and an error message should appear:
“Epic sadface: Username is required”</t>
  </si>
  <si>
    <t>No transactions occur, and the user remains on the login page.</t>
  </si>
  <si>
    <t>The login was rejected, and the system displayed the error message:
“Epic sadface: Username is required”</t>
  </si>
  <si>
    <t>N.A</t>
  </si>
  <si>
    <t>Trying login without Password.</t>
  </si>
  <si>
    <t>Trying to login without password.</t>
  </si>
  <si>
    <t>1. Open the url link (https://www.saucedemo.com/)
2. Enter valid username
3. Click on the Login button</t>
  </si>
  <si>
    <t>Username: error_user</t>
  </si>
  <si>
    <t>The login attempt should be rejected, and an error message should appear:
“Epic sadface: Password is required”</t>
  </si>
  <si>
    <t>The login was rejected, and the system displayed the error message:
“Epic sadface: Password is required”</t>
  </si>
  <si>
    <t>Trying login without wrong Password.</t>
  </si>
  <si>
    <t>Trying to login with wrong password.</t>
  </si>
  <si>
    <t>1. Open the url link (https://www.saucedemo.com/)
2. Enter valid username and Wrong Password
3. Click on the Login button</t>
  </si>
  <si>
    <t>Username: error_user
Password: 1234</t>
  </si>
  <si>
    <t>The login attempt should be rejected, and an error message should appear:
“Epic sadface: Username and password do not match any user in this service”</t>
  </si>
  <si>
    <t>The login was rejected, and the system displayed the error message:
“Epic sadface: Username and password do not match any user in this service”</t>
  </si>
  <si>
    <t>Trying login with Locked out user.</t>
  </si>
  <si>
    <t>Verify the system should reject the login if the user is locked out.</t>
  </si>
  <si>
    <t>1. Open the url link (https://www.saucedemo.com/)
2. Enter locked out username and Password
3. Click on the Login button</t>
  </si>
  <si>
    <t>Username: locked_out_user
Password: secret_sauce</t>
  </si>
  <si>
    <t>The login attempt should be rejected, and an error message should appear:
“Epic sadface: Sorry, this user has been locked out.”</t>
  </si>
  <si>
    <t>The login was rejected, and the system displayed the error message:
“Epic sadface: Sorry, this user has been locked out.”</t>
  </si>
  <si>
    <t>Trying login with valid user and credentials.</t>
  </si>
  <si>
    <t>Verify that the user can successfully log in using valid credentials and is redirected to the products page.</t>
  </si>
  <si>
    <t>1. Intenet connection.
2. The web URL(https://www.saucedemo.com/)
3. The user in the login page.
4. The user has valid login credentials.</t>
  </si>
  <si>
    <t>1. Open the url link (https://www.saucedemo.com/)
2. Enter valid username and Password
3. Click on the Login button</t>
  </si>
  <si>
    <t>Username: error_user
Password: secret_sauce</t>
  </si>
  <si>
    <t>The login should be accepted, and the user should be redirected to the Products page.</t>
  </si>
  <si>
    <t>The user logged in and is on the Products page.</t>
  </si>
  <si>
    <t>The login was accepted, and the user was successfully redirected to the Products page.</t>
  </si>
  <si>
    <t>Sidebar</t>
  </si>
  <si>
    <t>Verify that the Sidebar button is clickable</t>
  </si>
  <si>
    <t>Ensure that the Sidebar (menu) button is clickable and displays multiple navigation options when clicked.</t>
  </si>
  <si>
    <t>1. Intenet connection.
2. The web URL(https://www.saucedemo.com/)
3. The user has valid login credentials.
4. The user is logged in and on the Products page.</t>
  </si>
  <si>
    <t>1. Open the url link (https://www.saucedemo.com/)
2. Enter valid username and Password
3. Click on the Login button
4. Click the Sidebar (menu) button located on the top-left corner.</t>
  </si>
  <si>
    <t>The Sidebar should appear displaying multiple navigation options</t>
  </si>
  <si>
    <t>The Sidebar is displayed with multiple menu options.</t>
  </si>
  <si>
    <t>The Sidebar appeared successfully and displayed multiple navigation options.</t>
  </si>
  <si>
    <t>All items option in the sidebar.</t>
  </si>
  <si>
    <t>Verify that the “All Items” option is clickable and displays all products</t>
  </si>
  <si>
    <t>1. Open the url link (https://www.saucedemo.com/)
2. Enter valid username and Password
3. Click on the Login button
4. Click on the cart icon
5. Click the Sidebar (menu) button located on the top-left corner.
6. Click on the All Items option</t>
  </si>
  <si>
    <t>The All Items option should be clickable, and all products should be displayed successfully.</t>
  </si>
  <si>
    <t>The user remains on the cart page where all items are visible.</t>
  </si>
  <si>
    <t>The All Items option was clickable, and all products were displayed successfully.</t>
  </si>
  <si>
    <t>About option in the sidebar.</t>
  </si>
  <si>
    <t>Verify that the “About” option is clickable and redirect the user to the About Page</t>
  </si>
  <si>
    <t>1. Open the url link (https://www.saucedemo.com/)
2. Enter valid username and Password
3. Click on the Login button
4. Click the Sidebar (menu) button located on the top-left corner.
5. Click on the About Option</t>
  </si>
  <si>
    <t>The Sidebar should close, and the user should be redirected to the About page.</t>
  </si>
  <si>
    <t>The Sidebar is closed, and the About page is displayed.</t>
  </si>
  <si>
    <t>The Sidebar closed, and the user is redirected to the About page.</t>
  </si>
  <si>
    <t>Logout option in the sidebar.</t>
  </si>
  <si>
    <t>Verify that the “Logout” option is clickable and redirect the user to the Login Page</t>
  </si>
  <si>
    <t>1. Open the url link (https://www.saucedemo.com/)
2. Enter valid username and Password
3. Click on the Login button
4. Click the Sidebar (menu) button located on the top-left corner.
5. Click on the Logout Option</t>
  </si>
  <si>
    <t>The Sidebar should close, and the user should be redirected to the Login page.</t>
  </si>
  <si>
    <t>The Sidebar is closed, and the Login page is displayed.</t>
  </si>
  <si>
    <t>The Sidebar closed, and the user is redirected to the Login page.</t>
  </si>
  <si>
    <t>Reset App State option in the sidebar.</t>
  </si>
  <si>
    <t>Verify that the “Reset App State” option resets all operations and keeps the user on the Products page</t>
  </si>
  <si>
    <t>1. Intenet connection.
2. The web URL(https://www.saucedemo.com/)
3. The user has valid login credentials.
4. The user is logged in and on the Products page.
5. At least one product has been added to the cart.</t>
  </si>
  <si>
    <t>1. Open the url link (https://www.saucedemo.com/)
2. Enter valid username and Password
3. Click on the Login button
4. Click Add to cart for any product.
5. Click the Sidebar (menu) button located on the top-left corner.
6. Click on the Reset App State Option</t>
  </si>
  <si>
    <t>The Sidebar should close, and the user should remain on the Products page.
All previous operations should be reset .
The Remove button for the added product should revert to Add to cart.</t>
  </si>
  <si>
    <t>The user remains on the Products page, and all cart and application states are reset.</t>
  </si>
  <si>
    <t>The Sidebar still open, and the user remained on the Products page.
the Remove button for the previously added product did not revert to Add to cart.</t>
  </si>
  <si>
    <t>Check that the all product cards are clickable</t>
  </si>
  <si>
    <t>Verify that each product card on the Products page is clickable and redirects the user to the correct product detail page.</t>
  </si>
  <si>
    <t>1. Open the url link (https://www.saucedemo.com/)
2. Enter valid username and Password
3. Click on the Login button
4. Click on each product card one by one</t>
  </si>
  <si>
    <t>Each product card should be clickable.
Clicking a product card should redirect the user to the correct Product Details page that displays the product name, description, price, and Add to Cart button.</t>
  </si>
  <si>
    <t>The user is redirected to the product details page ,
And can navigate back to the Products page using the Back to products button.</t>
  </si>
  <si>
    <t>Each product card is clickable.
Clicking a product card redirected the user to the correct Product Details page that displayed the product name, description, price, and Add to Cart button.</t>
  </si>
  <si>
    <t xml:space="preserve">Sorting </t>
  </si>
  <si>
    <t>Ensure that the sorting functionality works correctly</t>
  </si>
  <si>
    <t>Verify that the user can sort products correctly by Name and Price using the sort dropdown on the Products page.</t>
  </si>
  <si>
    <t>1. Open the url link (https://www.saucedemo.com/)
2. Enter valid username and Password
3. Click on the Login button
4. Click on the Sort Dropdown
5. Choose any option, ex: Price (low to high)</t>
  </si>
  <si>
    <t>When sorting by Price (Low to High) → Products should be ordered by price from lowest to highest.</t>
  </si>
  <si>
    <t>The selected sorting option remains active.
The user remains on the Products page with sorted products.</t>
  </si>
  <si>
    <t>Sorting fail, and an error message appears:
“Sorting is broken! This error has been reported to Backtrace.”</t>
  </si>
  <si>
    <t>Buying</t>
  </si>
  <si>
    <t>The user can add any Product to the cart from the products page.</t>
  </si>
  <si>
    <t>Verify that all products can be added to the cart from the Products page just by clicking on the Add to cart button.</t>
  </si>
  <si>
    <t>1. Open the url link (https://www.saucedemo.com/)
2. Enter valid username and Password
3. Click on the Login button
4. Click on Add to cart button for each Product.</t>
  </si>
  <si>
    <t>Each product should be added to the cart successfully.
The Add to cart button should change to Remove for each product added.
The Cart icon should display a count of 6 items.</t>
  </si>
  <si>
    <t>The user remains logged in on the Products page.
The cart contains all six products.</t>
  </si>
  <si>
    <t>Not all prodects added successfully to the cart.
In some cases the cart count did not update correctly.</t>
  </si>
  <si>
    <t>The user can remove any Product from the cart from the products page.</t>
  </si>
  <si>
    <t>Verify that all products can be removed from the cart from the Products page just by clicking on the Remove button.</t>
  </si>
  <si>
    <t>1. Open the url link (https://www.saucedemo.com/)
2. Enter valid username and Password
3. Click on the Login button
4. Click on Add to cart button for each Product.
5. Click on Remove button for each Product.</t>
  </si>
  <si>
    <t>The product should be removed from the cart.
The button should change back from Remove to Add to cart.
The cart count should decrease by 1.</t>
  </si>
  <si>
    <t>The user remains on the Products page.
The selected product is removed from the cart.</t>
  </si>
  <si>
    <t>The Remove button is not functional.
The product remains in the cart, and the button does not change back to Add to cart.</t>
  </si>
  <si>
    <t>The user can add any Product to the cart from the product details page.</t>
  </si>
  <si>
    <t>Verify that all products can be added to the cart from the Product details page just by clicking on the Add to cart button.</t>
  </si>
  <si>
    <t>1. Open the url link (https://www.saucedemo.com/)
2. Enter valid username and Password
3. Click on the Login button
4. Click on each product card one by one
5. Click on Add to cart button for each Product.</t>
  </si>
  <si>
    <t>The user remains logged in on the Product details page.
The cart contains all six products.</t>
  </si>
  <si>
    <t>The user can remove any Product from the cart from the product details page.</t>
  </si>
  <si>
    <t>Verify that all products can be removed from the cart from the Product details page just by clicking on the Remove button.</t>
  </si>
  <si>
    <t>1. Open the url link (https://www.saucedemo.com/)
2. Enter valid username and Password
3. Click on the Login button
4. Click on each product card one by one
5. Click on Add to cart button for each Product.
6. Click on Remove button for each Product.</t>
  </si>
  <si>
    <t>The user remains on the Product details page.
The selected product is removed from the cart.</t>
  </si>
  <si>
    <t>The Remove button is not functional.
The product remains in the cart, and the button does not change back to Add to cart.</t>
  </si>
  <si>
    <t>Trying to add multiple items</t>
  </si>
  <si>
    <t>Verify that the user can add multiple items from the Products page.</t>
  </si>
  <si>
    <t>1. Open the URL https://www.saucedemo.com/
2. Enter valid Username and Password.
3. Click the Login button.
4. Click on the Add to cart button for multiple items.</t>
  </si>
  <si>
    <t>Username: error_user
Password: secret_sauce
Product_1: Sauce Labs Backpack
Product_2: Sauce Labs Bike Light
Product_3: Sauce Labs Onesie</t>
  </si>
  <si>
    <t>The products should be added successfully.
The cart count should be 3.
The button label should change from “Add to cart” to “Remove” for the selected products.</t>
  </si>
  <si>
    <t>The user remains on the Products page.
The buttons’ labels changed from “Add to cart” to “Remove” for the selected products.</t>
  </si>
  <si>
    <t>The products is added successfully.
The cart count is 3.
The button label changed from “Add to cart” to “Remove” for the selected products.</t>
  </si>
  <si>
    <t>Cart icon displays the cart page</t>
  </si>
  <si>
    <t>Verify that the cart icon displays the cart page with selected items</t>
  </si>
  <si>
    <t>1. Open the URL https://www.saucedemo.com/
2. Enter valid Username and Password.
3. Click the Login button.
4. Click on the Add to cart button for multiple items.
5. Click on the cart icon.</t>
  </si>
  <si>
    <t>The user should be redirected to the Cart page.
The added products should be displayed with correct details.
The cart count should match the number of items displayed in the cart.</t>
  </si>
  <si>
    <t>The user remains on the Cart page with all added products details.</t>
  </si>
  <si>
    <t>The user is redirected to the Cart page.
The added products is displayed with correct details.
The cart count matched the number of items displayed in the cart.</t>
  </si>
  <si>
    <t>The user can edit on the cart and remove any item.</t>
  </si>
  <si>
    <t>Verify that the user can remove an item from the cart page successfully</t>
  </si>
  <si>
    <t>1. Intenet connection.
2. The web URL(https://www.saucedemo.com/)
3. The user has valid login credentials.
4. The user is logged in and on the Products page.
5. The user redirected to the Cart page</t>
  </si>
  <si>
    <t>1. Open the URL https://www.saucedemo.com/
2. Enter valid Username and Password.
3. Click the Login button.
4. Click on the Add to cart button for multiple items.
5. Click on the cart icon.
6. Click on the Removed button for the selected product.</t>
  </si>
  <si>
    <t>Username: error_user
Password: secret_sauce
Product_1: Sauce Labs Backpack
Product_2: Sauce Labs Bike Light
Product_3: Sauce Labs Onesie (removed)</t>
  </si>
  <si>
    <t>The selected product should be removed from the cart.
The cart count should decrease by one.</t>
  </si>
  <si>
    <t>The user remains on the Cart page with the cart updated list of remaining products.</t>
  </si>
  <si>
    <t>The selected product was successfully removed from the cart.
The cart count was updated correctly.</t>
  </si>
  <si>
    <t>Check whether the user can change the quantity of an item in the cart.</t>
  </si>
  <si>
    <t>Verify that the user cannot update the product quantity in the cart page</t>
  </si>
  <si>
    <t>1. Open the URL https://www.saucedemo.com/
2. Enter valid Username and Password.
3. Click the Login button.
4. Click on the Add to cart button for multiple items.
5. Click on the cart icon.
6. Try to Rewrite the product quantity.</t>
  </si>
  <si>
    <t>Username: error_user
Password: secret_sauce
Product_1: Sauce Labs Backpack
Product_2: Sauce Labs Bike Light</t>
  </si>
  <si>
    <t>The system should allow the user to update the product quantity in the cart.</t>
  </si>
  <si>
    <t>The user remains on the Cart page with the cart updated list of the modified products.</t>
  </si>
  <si>
    <t>The quantity cannot be updated; there is no option or field to modify it.</t>
  </si>
  <si>
    <t>The “Continue Shopping” button redirects the user to the Products page</t>
  </si>
  <si>
    <t>when the user clicks the Continue Shopping button on the cart page, they are redirected back to the Products page successfully.</t>
  </si>
  <si>
    <t>1. Open the URL https://www.saucedemo.com/
2. Enter valid Username and Password.
3. Click the Login button.
4. Click on the Add to cart button for multiple items.
5. Click on the cart icon.
6. Click on the Continue Shopping button.</t>
  </si>
  <si>
    <t>The user should be redirected to the Products page.
The previously added items should remain in the cart.</t>
  </si>
  <si>
    <t>The user redirected to the Products page without any change in the cart.</t>
  </si>
  <si>
    <t>The user is redirected to the Products page.
The previously added items remain in the cart.</t>
  </si>
  <si>
    <t>Start the Checkout Process</t>
  </si>
  <si>
    <t>Verify that clicking the Checkout button redirects the user to the checkout information page.</t>
  </si>
  <si>
    <t>1. Open the URL https://www.saucedemo.com/
2. Enter valid Username and Password.
3. Click the Login button.
4. Click on the Add to cart button for multiple items.
5. Click on the cart icon.
6. Click on the Checkout button.</t>
  </si>
  <si>
    <t>The user should be redirected to the Checkout: Your Information page.
The page should display three input fields:First Name, Last Name, Postal Code
A Continue and Cancel button should also be visible.</t>
  </si>
  <si>
    <t>The user remains on the Checkout: Your Information page, ready to enter his information.</t>
  </si>
  <si>
    <t>The user is redirected to the Checkout: Your Information page.
The page displayed three input fields:First Name, Last Name, Postal Code
A Continue and Cancel button is also visible.</t>
  </si>
  <si>
    <t>Cancel the Checkout Process</t>
  </si>
  <si>
    <t>Verify that the Cancel button on the Checkout Information page redirects the user back to the Cart page.</t>
  </si>
  <si>
    <t>1. Intenet connection.
2. The web URL(https://www.saucedemo.com/)
3. The user has valid login credentials.
4. The user is logged in and on the Products page.
5. The user redirected to the Cart page
6. The user redirected to the Checkout your information page</t>
  </si>
  <si>
    <t>1. Open the URL https://www.saucedemo.com/
2. Enter valid Username and Password.
3. Click the Login button.
4. Click on the Add to cart button for multiple items.
5. Click on the cart icon.
6. Click on the Checkout button.
7. Click on Cancel button.</t>
  </si>
  <si>
    <t>The user should be redirected back to the Cart page.
All previously added items should still be present in the cart.</t>
  </si>
  <si>
    <t>The user is back on the Cart page.</t>
  </si>
  <si>
    <t>The user is redirected back to the Cart page.
All previously added items are still in the cart.</t>
  </si>
  <si>
    <t>Continue the Checkout Process without entering any information.</t>
  </si>
  <si>
    <t>Verify that clicking the Continue button without entering any checkout information displays error message.</t>
  </si>
  <si>
    <t>1. Open the URL https://www.saucedemo.com/
2. Enter valid Username and Password.
3. Click the Login button.
4. Click on the Add to cart button for multiple items.
5. Click on the cart icon.
6. Click on the Checkout button.
7. Click on Continue button.</t>
  </si>
  <si>
    <t>The system should reject the action and display an error message:
"Error: First Name is required"
The user should remain on the Checkout Information page.</t>
  </si>
  <si>
    <t>No checkout progress is made.
The user remains on the Checkout: Your Information page.</t>
  </si>
  <si>
    <t>The system displayed the error message:
"Error: First Name is required"
The user remained on the Checkout Information page.</t>
  </si>
  <si>
    <t>Continue the Checkout Process with only valid First name.</t>
  </si>
  <si>
    <t>Verify that entering only the First Name and clicking Continue shows an error for the missing Last Name</t>
  </si>
  <si>
    <t>1. Open the URL https://www.saucedemo.com/
2. Enter valid Username and Password.
3. Click the Login button.
4. Click on the Add to cart button for multiple items.
5. Click on the cart icon.
6. Click on the Checkout button.
7. Enter Valid First name.
8. Click on Continue button.</t>
  </si>
  <si>
    <t>Username: error_user
Password: secret_sauce
Product_1: Sauce Labs Backpack
Product_2: Sauce Labs Bike Light
First Name: Mohammed</t>
  </si>
  <si>
    <t>The system should reject the action and display an error message:
"Error: Error: Last Name is required"
The user should remain on the Checkout Information page.</t>
  </si>
  <si>
    <t>The system displayed the error message:
"Error: Last Name is required"
The user remained on the Checkout Information page.</t>
  </si>
  <si>
    <t>Continue the Checkout Process without Postal Code.</t>
  </si>
  <si>
    <t>Verify that entering only the First and Last Name and clicking Continue shows an error for the missing Postal Code Name</t>
  </si>
  <si>
    <t>1. Open the URL https://www.saucedemo.com/
2. Enter valid Username and Password.
3. Click the Login button.
4. Click on the Add to cart button for multiple items.
5. Click on the cart icon.
6. Click on the Checkout button.
7. Enter Valid First name and Last Name.
8. Click on Continue button.</t>
  </si>
  <si>
    <t>Username: error_user
Password: secret_sauce
Product_1: Sauce Labs Backpack
Product_2: Sauce Labs Bike Light
First Name: Mohammed
Last Name: Ahmed</t>
  </si>
  <si>
    <t>The system should reject the action and display an error message:
"Error: Postal Code is required"
The user should remain on the Checkout Information page.</t>
  </si>
  <si>
    <t>The system displayed the error message:
"Error: Postal Code is required"
The user remained on the Checkout Information page.</t>
  </si>
  <si>
    <t>Continue the Checkout Process with valid information.</t>
  </si>
  <si>
    <t>Verify that clicking the Continue button after entering valid checkout information redirects the user to the Checkout Overview page.</t>
  </si>
  <si>
    <t>1. Open the URL https://www.saucedemo.com/
2. Enter valid Username and Password.
3. Click the Login button.
4. Click on the Add to cart button for multiple items.
5. Click on the cart icon.
6. Click on the Checkout button.
7. Enter all Valid information.
8. Click on Continue button.</t>
  </si>
  <si>
    <t>Username: error_user
Password: secret_sauce
Product_1: Sauce Labs Backpack
Product_2: Sauce Labs Bike Light
First Name: Mohammed
Last Name: Ahmed
Postal Code: 1234</t>
  </si>
  <si>
    <t>The user should be redirected to the Checkout Overview page.
The page should display:
- List of selected products
- Payment information section
- Shipping information section
- Finish &amp; Cancel buttons</t>
  </si>
  <si>
    <t>The user redirected on the Checkout Overview page, ready to confirm the order.</t>
  </si>
  <si>
    <t>The user is redirected to the Checkout Overview page.
The page displayed:
- List of selected products
- Payment information section
- Shipping information section
- Finish &amp; Cancel buttons</t>
  </si>
  <si>
    <t>Continue the Checkout Process with characters or numbers in the name fields.</t>
  </si>
  <si>
    <t>Verify that the First Name and Last Name fields accept only alphabetic characters.</t>
  </si>
  <si>
    <t>1. Open the URL https://www.saucedemo.com/
2. Enter valid Username and Password.
3. Click the Login button.
4. Click on the Add to cart button for multiple items.
5. Click on the cart icon.
6. Click on the Checkout button.
7. Enter invalid First or Second name &amp; valid Postal Code.
8. Click on Continue button.</t>
  </si>
  <si>
    <t>Username: error_user
Password: secret_sauce
Product_1: Sauce Labs Backpack
Product_2: Sauce Labs Bike Light
First Name: Mohammed*25
Last Name: Ahmed
Postal Code: 1234</t>
  </si>
  <si>
    <t>The system should accept only alphabetic input in both name fields.
It should display an error if numbers or special characters are entered.</t>
  </si>
  <si>
    <t>Continue the Checkout Process with characters or alphabetics in the Postal Code field.</t>
  </si>
  <si>
    <t>Verify that the Postal Code field accept only Digits.</t>
  </si>
  <si>
    <t>1. Open the URL https://www.saucedemo.com/
2. Enter valid Username and Password.
3. Click the Login button.
4. Click on the Add to cart button for multiple items.
5. Click on the cart icon.
6. Click on the Checkout button.
7. Enter valid First, Second name &amp; invalid Postal Code.
8. Click on Continue button.</t>
  </si>
  <si>
    <t>Username: error_user
Password: secret_sauce
Product_1: Sauce Labs Backpack
Product_2: Sauce Labs Bike Light
First Name: Mohammed
Last Name: Ahmed
Postal Code: 1234aa</t>
  </si>
  <si>
    <t>The system should accept only digits input in the Postal code field.
It should display an error if characters are entered.</t>
  </si>
  <si>
    <t>Total Price Calculation</t>
  </si>
  <si>
    <t>Verify that the total price is calculated correctly on the Checkout Overview page.</t>
  </si>
  <si>
    <t>1. Intenet connection.
2. The web URL(https://www.saucedemo.com/)
3. The user has valid login credentials.
4. The user is logged in and on the Products page.
5. The user redirected to the Cart page
6. The user redirected to the Checkout your information page
7. The user redirected to the Checkout Overview page.</t>
  </si>
  <si>
    <t>1. Open the URL https://www.saucedemo.com/
2. Enter valid Username and Password.
3. Click the Login button.
4. Click on the Add to cart button for multiple items.
5. Click on the cart icon.
6. Click on the Checkout button.
7. Enter valid First, Second name &amp; Postal Code.
8. Click on Continue button.
9. Observe the Item total, Tax, and Total displayed.</t>
  </si>
  <si>
    <t>Username: error_user
Password: secret_sauce
Product_1: Sauce Labs Backpack [$29.99]
Product_2: Sauce Labs Bike Light [$9.99]
First Name: Mohammed
Last Name: Ahmed
Postal Code: 1234aa</t>
  </si>
  <si>
    <t>The Item total should correctly display the sum of all product prices ($29.99 + $9.99 = $39.98).
The Tax should be correctly added to the Item total($3.20).
The Total should correctly display (Item total + Tax) .</t>
  </si>
  <si>
    <t>The user remains on the Checkout: Overview page with correct totals displayed.</t>
  </si>
  <si>
    <t>The Item total correctly displayed the sum of all product prices ($29.99 + $9.99 = $39.98).
The Tax is correctly added to the Item total($3.20).
The Total correctly displayed (Item total + Tax) .</t>
  </si>
  <si>
    <t>Finish the Checkout Process</t>
  </si>
  <si>
    <t>Check that the Finish button completes the purchase process successfully.</t>
  </si>
  <si>
    <t>1. Open the URL https://www.saucedemo.com/
2. Enter valid Username and Password.
3. Click the Login button.
4. Click on the Add to cart button for multiple items.
5. Click on the cart icon.
6. Click on the Checkout button.
7. Enter valid First, Second name &amp; Postal Code.
8. Click on Continue button.
9. Click on the Finish Button.</t>
  </si>
  <si>
    <t xml:space="preserve">The system should complete the purchase and redirect the user to the Checkout: Complete! Page. </t>
  </si>
  <si>
    <t>The user is redirected to the Checkout: Complete! Page.</t>
  </si>
  <si>
    <t>The Finish button is not functional.</t>
  </si>
  <si>
    <t>TEST SUITE : Visual User</t>
  </si>
  <si>
    <t>Visual User Login happy scenario</t>
  </si>
  <si>
    <t>Try Loging in with the given username and password for the Visual user</t>
  </si>
  <si>
    <t>1. Go to https://www.saucedemo.com/v1/
2. enter the valid Visual User data (Username and Password)
3. click LOGIN</t>
  </si>
  <si>
    <t>Username : visual_user
Password : secret_sauce</t>
  </si>
  <si>
    <t>Visual User Login empty scenario</t>
  </si>
  <si>
    <t>Visual User Login empty username scenario</t>
  </si>
  <si>
    <t>Try Loging in with the given username and NO password for the Visual user</t>
  </si>
  <si>
    <t>1. Go to https://www.saucedemo.com/v1/
2. enter the valid Visual User data (Username only)
3. click LOGIN</t>
  </si>
  <si>
    <t>Username : visual_user
Password :EMPTY</t>
  </si>
  <si>
    <t>Visual User Login empty Password scenario</t>
  </si>
  <si>
    <t>Try Loging in with the given passowr and NO username for the Visual user</t>
  </si>
  <si>
    <t>1. Go to https://www.saucedemo.com/v1/
2. enter the valid Visual User data (Password only)
3. click LOGIN</t>
  </si>
  <si>
    <t>Login,Visual</t>
  </si>
  <si>
    <t>Visual User Login page UI/UX is correct</t>
  </si>
  <si>
    <t>Validate Mouse Hovering - Text Allignment - Blocks Allignment</t>
  </si>
  <si>
    <t>1. Go to https://www.saucedemo.com/v1/
2. Hover Mouse Over Clickable Components
3. Check for correct UI/UX
4. Check for Website Responsivness</t>
  </si>
  <si>
    <t xml:space="preserve">1. pointer switches to clicking 
2. Input boxes are in correct place
3. Buttons are in correct place
</t>
  </si>
  <si>
    <t>Cycle 3 – Visual</t>
  </si>
  <si>
    <t>Visual User Accessing Hamburger menu</t>
  </si>
  <si>
    <t>1. Go to https://www.saucedemo.com/v1/
2. enter the valid Visual User data
3. click LOGIN
4. Click on hamburger menu on top left screen</t>
  </si>
  <si>
    <t>Visual User Accessing Hamburger menu and validating buttons</t>
  </si>
  <si>
    <t>1. Go to https://www.saucedemo.com/v1/
2. enter the valid Visual User data
3. click LOGIN
4. Click on hamburger menu on top left screen
5. Click on About
6. Click on All items
7. Click on Logout</t>
  </si>
  <si>
    <t>Visual User Menu UI/UX is correct</t>
  </si>
  <si>
    <t>1. Go to https://www.saucedemo.com/v1/
2. enter the valid Visual User data
3. click LOGIN
4. Click on hamburger menu on top left screen
5. Check fo correct UI/UX for menu
6. Click on About
Check fo correct UI/UX for menu
7. Click on All items
Check fo correct UI/UX for menu
8. Click on Logout</t>
  </si>
  <si>
    <t>1. Login success no errors given
2. Redirect to SWAGLABS landing page
3. Hamburger menu slides from side
4. Buttons are in correct place
5. About new tab opens
6. Input boxes are in correct place
7. Buttons are in correct place
8. Redirect to All items page
9. Input boxes are in correct place
10. Buttons are in correct place
11. Logs out</t>
  </si>
  <si>
    <t>Visual User Accessing Footer Links in landing page</t>
  </si>
  <si>
    <t>1. Go to https://www.saucedemo.com/v1/
2. enter the valid Visual User data
3. click LOGIN
4. Scroll down
5. click on Facebook icon
6. click on Twitter icon
7. click on LinkedIn icon</t>
  </si>
  <si>
    <t>Visual User Accessing Cart From Landing Page</t>
  </si>
  <si>
    <t>1. Go to https://www.saucedemo.com/v1/
2. enter the valid Visual User data
3. click LOGIN
4. Click on cart icon from top right corner</t>
  </si>
  <si>
    <t>Visual User Can add products to cart from Landing page</t>
  </si>
  <si>
    <t>1. Go to https://www.saucedemo.com/v1/
2. enter the valid Visual User data
3. click LOGIN
4. Click on "Add To Cart" for all products in Landing page</t>
  </si>
  <si>
    <t>Visual User Can access each product page through it's image in landing page</t>
  </si>
  <si>
    <t>1. Go to https://www.saucedemo.com/v1/
2. enter the valid Visual User data
3. click LOGIN
4. Click on each Products image in landing page</t>
  </si>
  <si>
    <t>Visual User Can access each product page through it's name in landing page</t>
  </si>
  <si>
    <t>1. Go to https://www.saucedemo.com/v1/
2. enter the valid Visual User data
3. click LOGIN
4. Click on each Products name in landing page</t>
  </si>
  <si>
    <t>Visual User Landing page UI/UX is correct</t>
  </si>
  <si>
    <t>1. Go to https://www.saucedemo.com/v1/
2. enter the valid Visual User data
3. click LOGIN
4. Click on each Products name in landing page
5. Buttons are in correct place</t>
  </si>
  <si>
    <t>1. Login success no errors given
2. Redirect to SWAGLABS landing page
3.  redirected to each product page
4. each product page buttons UI/UX are correct</t>
  </si>
  <si>
    <t>1. Login success no errors given
2. Redirect to SWAGLABS landing page
3.  redirected to each product page
4. each product page buttons UI/UX are not correct</t>
  </si>
  <si>
    <t>Visual User Can Sort the product in landing page  to his liking</t>
  </si>
  <si>
    <t>Sort Products in landing page and check if sorted correctly with valid data ,prices,UI</t>
  </si>
  <si>
    <t xml:space="preserve">1. Go to https://www.saucedemo.com/v1/
2. enter the valid Visual User data
3. click LOGIN
4. Click and choose sorting type from the drop down menu
5. watch for UI changes </t>
  </si>
  <si>
    <t>1. Login success no errors given
2. Redirect to SWAGLABS landing page
3. Each sorting type is done successfully
4. price is valid for each sorting
5. no Visual changes happen to products or landing page</t>
  </si>
  <si>
    <t xml:space="preserve">1. Login success no errors given
2. Redirect to SWAGLABS landing page
3. Each sorting type is done successfully
4. price NOT VALID for each sorting
5. First product in each sorting has a dog picture instead of product picture
</t>
  </si>
  <si>
    <t>Visual User sees no similarity error for each product's landing page details and product page details</t>
  </si>
  <si>
    <t>1. Go to https://www.saucedemo.com/v1/
2. enter the valid Visual User data
3. click LOGIN
4. go to each product's product page
5. check Title,Image,Description and price matching</t>
  </si>
  <si>
    <t>1. Login success no errors given
2. Redirect to SWAGLABS landing page
3. Redirected to each product page successfully
4. Title, Description only are matching
5. Image is not matching for first product
6. Prices are different in landing and product page</t>
  </si>
  <si>
    <t>Visual User can Add to Cart and Remove from cart in each Product Page</t>
  </si>
  <si>
    <t>1. Go to https://www.saucedemo.com/v1/
2. enter the valid Visual User data
3. click LOGIN
4. go to each product's product page
5. Click on each product to access it's product page 
6. try Adding and removing from Cart</t>
  </si>
  <si>
    <t>Visual User can Go to main page from product page by clicking on the Swag Labs Logo in Header</t>
  </si>
  <si>
    <t>1. Go to https://www.saucedemo.com/v1/
2. enter the valid Visual User data
3. click LOGIN
4. go to each product's product page
5. Click on Swag Labs Logo in Header</t>
  </si>
  <si>
    <t>1. Login success no errors given
2. Redirect to SWAGLABS landing page
3. Redirected to each product page successfully
4. Logo is not clickable</t>
  </si>
  <si>
    <t>Visual User can Go to main page from product page by clicking on the Back Button</t>
  </si>
  <si>
    <t>1. Go to https://www.saucedemo.com/v1/
2. enter the valid Visual User data
3. click LOGIN
4. go to each product's product page
5. Click on Back Button</t>
  </si>
  <si>
    <t xml:space="preserve">1. Go to https://www.saucedemo.com/v1/
2. enter the valid Visual User data 
(Username and Password)
3. click LOGIN
4-click on cart icon on the top right
5-click on the "SWAGLAPS" icon on the top middle page </t>
  </si>
  <si>
    <t>Username:visual_user
password:secret_sauce</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</si>
  <si>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 xml:space="preserve">LABS landing page
3-redirects you to an empty cart page
4-navigation to </t>
    </r>
    <r>
      <rPr>
        <b/>
        <sz val="13"/>
        <color theme="1"/>
        <rFont val="Calibri"/>
        <family val="2"/>
        <scheme val="minor"/>
      </rPr>
      <t>SWAG</t>
    </r>
    <r>
      <rPr>
        <sz val="13"/>
        <color theme="1"/>
        <rFont val="Calibri"/>
        <family val="2"/>
        <scheme val="minor"/>
      </rPr>
      <t>LAPS landing page</t>
    </r>
  </si>
  <si>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an empty cart page
4-</t>
    </r>
    <r>
      <rPr>
        <b/>
        <sz val="13"/>
        <color theme="1"/>
        <rFont val="Calibri"/>
        <family val="2"/>
        <scheme val="minor"/>
      </rPr>
      <t>SWAG</t>
    </r>
    <r>
      <rPr>
        <sz val="13"/>
        <color theme="1"/>
        <rFont val="Calibri"/>
        <family val="2"/>
        <scheme val="minor"/>
      </rPr>
      <t>LAPS icon is unclickable</t>
    </r>
  </si>
  <si>
    <t>1. Go to https://www.saucedemo.com/v1/
2. enter the valid Visual User data 
(Username and Password)
3. click LOGIN
4-click on cart icon on the top right
5-click on the "Continue Shopping" button</t>
  </si>
  <si>
    <t>1. Go to https://www.saucedemo.com/v1/
2. enter the valid Visual User data 
(Username and Password)
3. click LOGIN
4-click on cart icon on the top right
5-click on the "CHECKOUT" button</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</si>
  <si>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an empty cart page
4-navigation to Checkout: Your Information</t>
    </r>
  </si>
  <si>
    <t>Visual User Cart Navigation UI/UX is correct</t>
  </si>
  <si>
    <t>1. Go to https://www.saucedemo.com/v1/
2. enter the valid Visual User data 
(Username and Password)
3. click LOGIN
4. check the cart icon is on the top left corner and not overlapping other UIs
4-click on cart icon on the top right
5-check the checkout and back icons are on the down part of the cart page and not overlapping other UIs
6-click on checkout
7-check if input boxes and buttos are not misplaced</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</si>
  <si>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 cart icon is not misplaced
4-redirects you to an empty cart page
5-buttons in  cart are not misplaced
6-navigation to Checkout: Your Information
6-information page UI is correct</t>
    </r>
  </si>
  <si>
    <t>1.navigates you to SWAGLAPS login page
2. Login success no errors given
3. redirect to SWAGLABS landing page
3. cart icon is misplaced
4-redirects you to an empty cart page
5-buttons in  cart are misplaced
6-navigation to Checkout: Your Information
6-information page UI is correct</t>
  </si>
  <si>
    <t xml:space="preserve">1. Go to https://www.saucedemo.com/v1/
2. enter the valid Visual User data 
(Username and Password)
3. click LOGIN
4-add any product
5-click on cart icon on the top right
</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</si>
  <si>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with 1 product in it
4-product is added with name quantity and description matching to product</t>
    </r>
  </si>
  <si>
    <t xml:space="preserve">1. Go to https://www.saucedemo.com/v1/
2. enter the valid Visual User data 
(Username and Password)
3. click LOGIN
4-add all products on landing page
5-click on cart icon on the top right
6-click on the product name </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</si>
  <si>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with 1 product in it
4-redirects you to the choosen product page</t>
    </r>
  </si>
  <si>
    <t>1. Go to https://www.saucedemo.com/v1/
2. enter the valid Visual User data 
(Username and Password)
3. click LOGIN
4-add any product
4-click on cart icon on the top right
5-click on the "1" in the "QTY" coloumn ,change it to "2"</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</si>
  <si>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with 1 product in it
4-Qty changes from "1" to "2"</t>
    </r>
  </si>
  <si>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with 1 product in iy
4-Qty is unchangeable</t>
    </r>
  </si>
  <si>
    <t xml:space="preserve">1. Go to https://www.saucedemo.com/v1/
2. enter the valid Visual User data 
(Username and Password)
3. click LOGIN
4-add all products on landing page
5-click on cart icon on the top right without limit
</t>
  </si>
  <si>
    <t xml:space="preserve">1. Go to https://www.saucedemo.com/v1/
2. enter the valid Visual User data 
(Username and Password)
3. click LOGIN
4-add 4 products
5-click on cart icon on the top right
</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</si>
  <si>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with 4  products in it
4-redirects you to the choosen product page
5-all products are added in the same order added</t>
    </r>
  </si>
  <si>
    <t xml:space="preserve">1. Go to https://www.saucedemo.com/v1/
2. enter the valid Visual User data 
(Username and Password)
3. click LOGIN
4-add 4 products
5-click on cart icon on the top right
6-click on "REMOVE" beside the products
</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</si>
  <si>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with multiple  products in it
4-redirects you to the choosen product page
5-all products are removed from cart</t>
    </r>
  </si>
  <si>
    <t>1. Go to https://www.saucedemo.com/v1/
2. enter the valid Visual User data 
(Username and Password)
3. click LOGIN
4-click on cart icon on the top right
6-click on "CHECKOUT"  button</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</si>
  <si>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4-redirects you to the empty cart page
5-Checkout button disabled error messgae "CART IS EMPTY"</t>
    </r>
  </si>
  <si>
    <t>1. Go to https://www.saucedemo.com/v1/
2. enter the valid Visual User data 
(Username and Password)
3. click LOGIN
4.add any product
5.click on cart icon on the top right
6.click on "CHECKOUT"  button
7.Enter a valid Name &amp;ZIP</t>
  </si>
  <si>
    <t>Username: visual_user
Password: secret_sauce
First Name :Esraa
Last Name :Salem
ZIP:40518</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</si>
  <si>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5-Fields accept valid input with no error</t>
    </r>
  </si>
  <si>
    <t xml:space="preserve">1. Go to https://www.saucedemo.com/v1/
2. Enter the valid Visual User data 
(Username and Password)
3. Click LOGIN
4.Add any product
5.Click on cart icon on the top right
6.Click on "CHECKOUT"  button
7.Click on "CANCEL" </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</si>
  <si>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5-Fields accept valid input with no error
6-redirects you to cart page</t>
    </r>
  </si>
  <si>
    <t xml:space="preserve">1. Go to https://www.saucedemo.com/v1/
2. Enter the valid Visual User data 
(Username and Password)
3. Click LOGIN
4.Add any product
5.Click on cart icon on the top right
6.Click on "CHECKOUT"  button
7.Enter a valid Name &amp;ZIP
8.Click on "CONTINUE" </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</si>
  <si>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5-Fields accept valid input with no error
6-redirects you to products overview page</t>
    </r>
  </si>
  <si>
    <t>1. Go to https://www.saucedemo.com/v1/
2. Enter the valid Visual User data 
(Username and Password)
3. Click LOGIN
4.Add any product
5.Click on cart icon on the top right
6.Click on "CHECKOUT"  button
7.Click on "CONTINUE" 
8-Click on "SWAGLABS" logo</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</si>
  <si>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5-Fields accept valid input with no error
6-redirects you to landing page</t>
    </r>
  </si>
  <si>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5-Fields accept valid input with no error
6-logo is not clickable</t>
    </r>
  </si>
  <si>
    <t>1. Go to https://www.saucedemo.com/v1/
2. enter the valid Visual User data 
(Username and Password)
3. click LOGIN
4.add any product
5.click on cart icon on the top right
6.click on "CHECKOUT"  button
7.Leave Name &amp;ZIP Empty</t>
  </si>
  <si>
    <t>Username: visual_user
Password: secret_sauce
First Name :blank
Last Name :blank
ZIP:blank</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</si>
  <si>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5-Error message "these fields can't be Empty"</t>
    </r>
  </si>
  <si>
    <t xml:space="preserve">1. Go to https://www.saucedemo.com/v1/
2. Enter the valid Visual User data 
(Username and Password)
3. Click LOGIN
4.Add any product
5.Click on cart icon on the top right
6.Click on "CHECKOUT"  button
7.Enter a valid Name &amp; Zip
8.Click on "CONTINUE" 
</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</si>
  <si>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5.redirects you to products overview page
6.All products in cart page should be displayed the same on the overview page</t>
    </r>
  </si>
  <si>
    <t xml:space="preserve">1. Go to https://www.saucedemo.com/v1/
2. Enter the valid Visual User data 
(Username and Password)
3. Click LOGIN
4.Add any product
5.Click on cart icon on the top right
6.Click on "CHECKOUT"  button
7.Enter a valid Name &amp; Zip
7.Click on "CONTINUE" 
</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</si>
  <si>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5.redirects you to products overview page
6.Payment Information are displayed (Card number)</t>
    </r>
  </si>
  <si>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5.redirects you to products overview page
6.Shipping Information are displayed</t>
    </r>
  </si>
  <si>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5.redirects you to products overview page
6.total reflects the correct price (Calculations are right)</t>
    </r>
  </si>
  <si>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5.redirects you to products overview page
6.every item corresponds to it's viewed price on landing page 
7.tax is 8% of the item total</t>
    </r>
  </si>
  <si>
    <t xml:space="preserve">1. Go to https://www.saucedemo.com/v1/
2. Enter the valid Visual User data 
(Username and Password)
3. Click LOGIN
4.Add any product
5.Click on cart icon on the top right
6.Click on "CHECKOUT"  button
7.Enter a valid Name &amp; Zip
8.Click on "CONTINUE" 
9.Click on "CANCEL"
</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</si>
  <si>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5.redirects you to products overview page
6.redirects you to the landing page</t>
    </r>
  </si>
  <si>
    <t xml:space="preserve">1. Go to https://www.saucedemo.com/v1/
2. Enter the valid Visual User data 
(Username and Password)
3. Click LOGIN
4.Add any product
5.Click on cart icon on the top right
6.Click on "CHECKOUT"  button
7.Enter a valid Name &amp; Zip
8.Click on "CONTINUE" 
9.Click on "Finish"
</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</si>
  <si>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5.redirects you to products overview page
6.Redirect to Checkout Complete page</t>
    </r>
  </si>
  <si>
    <t xml:space="preserve">1. Go to https://www.saucedemo.com/v1/
2. Enter the valid Visual User data 
(Username and Password)
3. Click LOGIN
4.Add any product
5.Click on cart icon on the top right
6.Click on "CHECKOUT"  button
7.Enter a valid Name &amp; Zip
8.Click on "CONTINUE" 
9.Click on "Finish"
10.Click on Cart icon on top 
</t>
  </si>
  <si>
    <r>
      <t xml:space="preserve">1.navigates you to </t>
    </r>
    <r>
      <rPr>
        <b/>
        <sz val="13"/>
        <color theme="1"/>
        <rFont val="Calibri"/>
        <family val="2"/>
        <scheme val="minor"/>
      </rPr>
      <t>SWAG</t>
    </r>
    <r>
      <rPr>
        <sz val="13"/>
        <color theme="1"/>
        <rFont val="Calibri"/>
        <family val="2"/>
        <scheme val="minor"/>
      </rPr>
      <t xml:space="preserve">LAPS login page
2. Login success no errors given
3. redirect to </t>
    </r>
    <r>
      <rPr>
        <b/>
        <sz val="13"/>
        <color theme="1"/>
        <rFont val="Calibri"/>
        <family val="2"/>
        <scheme val="minor"/>
      </rPr>
      <t>SWAG</t>
    </r>
    <r>
      <rPr>
        <sz val="13"/>
        <color theme="1"/>
        <rFont val="Calibri"/>
        <family val="2"/>
        <scheme val="minor"/>
      </rPr>
      <t>LABS landing page
3-redirects you to a cart page one product in it
4-redirects you to the checkout page 
5.redirects you to products overview page
6.Redirect to Checkout Complete page
7.Redirects you to an Empty Cart page</t>
    </r>
  </si>
  <si>
    <t>SIQ_ID</t>
  </si>
  <si>
    <t>Requirement</t>
  </si>
  <si>
    <t>SIQs</t>
  </si>
  <si>
    <t>Answer</t>
  </si>
  <si>
    <t>Linked_TestCases</t>
  </si>
  <si>
    <t>TC_Std_007, TC_Std_008, TC_Std_009, TC_PU_006, TC_PGU_023, TC_PGU_024, TC_PGU_026, TC_VU_028</t>
  </si>
  <si>
    <t>TC_PGU_026, TC_PGU_044, TC_PGU_046, TC_VU_030</t>
  </si>
  <si>
    <t>TC_PGU_023, TC_PGU_024, TC_VU_027, TC_VU_028</t>
  </si>
  <si>
    <t>TC_Std_013, TC_Std_014, TC_Std_015, TC_Std_016, TC_Std_017, TC_Std_018, TC_Std_019, TC_Std_020, TC_Std_021, TC_Std_022, TC_Std_023, TC_Std_024, TC_Std_025, TC_Std_026, TC_Std_027, TC_PGU_009, TC_PGU_010, TC_PGU_011, TC_VU_029</t>
  </si>
  <si>
    <t>TC_Std_017, TC_Std_018, TC_Std_019, TC_Std_020, TC_Std_021, TC_Std_022, TC_Std_023, TC_Std_024, TC_Std_025, TC_Std_026, TC_Std_027, TC_PGU_012, TC_VU_031</t>
  </si>
  <si>
    <t>TC_PGU_028, TC_PGU_054, TC_PGU_055, TC_VU_032</t>
  </si>
  <si>
    <t>TC_PGU_033, TC_PGU_034, TC_PGU_035, TC_PGU_036, TC_VU_037, TC_VU_038, TC_VU_039</t>
  </si>
  <si>
    <t>TC_PGU_039, TC_PGU_040, TC_PGU_057, TC_EU_013, TC_EU_014, TC_VU_040</t>
  </si>
  <si>
    <t>TC_Std_001, TC_PGU_001, TC_PGU_002, TC_PGU_003, TC_VU_001</t>
  </si>
  <si>
    <t>TC_PGU_004, TC_VU_002</t>
  </si>
  <si>
    <t>TC_Std_001, TC_PGU_001</t>
  </si>
  <si>
    <t>FR-NAV-01</t>
  </si>
  <si>
    <t>TC_Std_010, TC_Std_011, TC_Std_012, TC_PGU_021, TC_PGU_022, TC_VU_025</t>
  </si>
  <si>
    <t>FR-NAV-02</t>
  </si>
  <si>
    <t>TC_Std_028, TC_Std_029, TC_Std_030, TC_PGU_005, TC_PGU_006, TC_PGU_013, TC_PGU_014, TC_PGU_015, TC_PGU_016, TC_PGU_017, TC_VU_033, TC_VU_034, TC_VU_035</t>
  </si>
  <si>
    <t>TC_Std_002, TC_Std_003, TC_Std_004, TC_Std_005, TC_Std_006, TC_PGU_003, TC_VU_026, TC_VU_025</t>
  </si>
  <si>
    <t>TC_PU_001, TC_PU_002, TC_PU_003, TC_PU_004, TC_PGU_014, TC_PGU_015, TC_PGU_016, TC_PGU_017, TC_VU_026</t>
  </si>
  <si>
    <t>TC_Std_005, TC_PU_005</t>
  </si>
  <si>
    <t>TC_Std_006, TC_PU_006</t>
  </si>
  <si>
    <t>TC_Std_003, TC_PU_007</t>
  </si>
  <si>
    <t>TC_Std_002, TC_PU_003</t>
  </si>
  <si>
    <t>FR-SEC-01</t>
  </si>
  <si>
    <t>TC_PGU_032, TC_PGU_058, TC_VU_036</t>
  </si>
  <si>
    <t>Bug ID</t>
  </si>
  <si>
    <t>Module / Feature</t>
  </si>
  <si>
    <t>Title / Summary</t>
  </si>
  <si>
    <t>Reported By</t>
  </si>
  <si>
    <t>Detected In / Test Cycle</t>
  </si>
  <si>
    <t>Severity</t>
  </si>
  <si>
    <t>Environment</t>
  </si>
  <si>
    <t>Req_ID/US_ID</t>
  </si>
  <si>
    <t>Steps to Reproduce</t>
  </si>
  <si>
    <t>Attachments / Evidence</t>
  </si>
  <si>
    <t>Assigned To</t>
  </si>
  <si>
    <t>Detected By</t>
  </si>
  <si>
    <t>Date Logged</t>
  </si>
  <si>
    <t>Comments / Root Cause</t>
  </si>
  <si>
    <t>Bugs : Preformace Glitch User</t>
  </si>
  <si>
    <t>BUG_CART_001</t>
  </si>
  <si>
    <r>
      <rPr>
        <b/>
        <sz val="11"/>
        <color rgb="FFFF0000"/>
        <rFont val="Calibri"/>
        <scheme val="minor"/>
      </rPr>
      <t>SWAG</t>
    </r>
    <r>
      <rPr>
        <sz val="11"/>
        <color rgb="FFFF0000"/>
        <rFont val="Calibri"/>
        <scheme val="minor"/>
      </rPr>
      <t>LAPS</t>
    </r>
    <r>
      <rPr>
        <sz val="11"/>
        <color rgb="FF000000"/>
        <rFont val="Calibri"/>
        <scheme val="minor"/>
      </rPr>
      <t xml:space="preserve"> logo on Cart page is unclickable and does not navigate to Landing Page</t>
    </r>
  </si>
  <si>
    <t>Minor</t>
  </si>
  <si>
    <t>Chrome / Windows 11</t>
  </si>
  <si>
    <t>TC_PGU_016</t>
  </si>
  <si>
    <t>When the user clicks the “SWAGLABS” logo from the Cart page, the logo becomes unclickable and does not redirect to the Landing Product page as expected. Navigation is broken</t>
  </si>
  <si>
    <t>1. Go to https://www.saucedemo.com/v1
2. Enter valid PGU credentials (username &amp; password)
3. Click LOGIN
4. Click the Cart icon (top-right)
5. Click the SWAGLABS logo (top middle of page)</t>
  </si>
  <si>
    <t>The user should be redirected to the SWAGLABS landing product page. Logo must be clickable and functional.</t>
  </si>
  <si>
    <t>The logo becomes unclickable and user remains on the Cart page. No redirection occurs.</t>
  </si>
  <si>
    <t>https://drive.google.com/file/d/1cqNIPA9UDiq1wNOg11CCt_UDxzyJD0Ly/view?usp=sharing</t>
  </si>
  <si>
    <t>New</t>
  </si>
  <si>
    <t>Navigation handler for the SWAGLABS logo on the Cart page appears missing or disabled. Possibly a broken anchor tag or blocked event listener.</t>
  </si>
  <si>
    <t>BUG_CART_002</t>
  </si>
  <si>
    <t>Checkout button remains active when cart is empty, allowing user to proceed</t>
  </si>
  <si>
    <t>Major</t>
  </si>
  <si>
    <t>TC_PGU_018</t>
  </si>
  <si>
    <t>When the cart is empty, the CHECKOUT button should be disabled and display an error message “CART IS EMPTY”. Instead, the button is active and allows users to proceed to the checkout flow and complete the purchase, violating business logic and allowing invalid transactions.</t>
  </si>
  <si>
    <t>1. Go to https://www.saucedemo.com/v1
2. Enter valid PGU username &amp; password
3. Click LOGIN
4. Click on the Cart icon (top-right) while the cart is empty
5. Click the CHECKOUT button</t>
  </si>
  <si>
    <t>CHECKOUT button should be disabled, and an error message should appear: “CART IS EMPTY”. User must NOT proceed.</t>
  </si>
  <si>
    <t>CHECKOUT button is active, and the user is redirected through the checkout flow and can even complete the payment process with an empty cart.</t>
  </si>
  <si>
    <t>https://drive.google.com/file/d/1UwZgkg2cSkdHoKiw0MEQMMwj9WeZmi6Y/view?usp=sharing</t>
  </si>
  <si>
    <t>Checkout validation logic missing or incorrectly implemented. System does not verify cart state before navigating to checkout, resulting in an invalid purchase path.</t>
  </si>
  <si>
    <t>BUG_CHECKOUT_003</t>
  </si>
  <si>
    <t>SWAGLABS logo is not clickable on Checkout pages and does not redirect to Home</t>
  </si>
  <si>
    <t>TC_PGU_023</t>
  </si>
  <si>
    <t>On the Checkout and Overview pages, the SWAGLABS logo should act as a navigation link back to the product landing page. Instead, the logo is unclickable, preventing the user from returning to the homepage and breaking expected navigation behavior.</t>
  </si>
  <si>
    <t>1. Go to https://www.saucedemo.com/v1
2. Enter valid PGU credentials (username &amp; password)
3. Click LOGIN
4. Add any product
5. Click the Cart icon (top-right)
6. Click CHECKOUT
7. Enter First Name, Last Name, ZIP
8. Click CONTINUE
9. Click the SWAGLABS logo</t>
  </si>
  <si>
    <t>The SWAGLABS logo should be clickable and redirect the user to the SWAGLABS landing page, while keeping the user logged in.</t>
  </si>
  <si>
    <t>The SWAGLABS logo is not clickable. No navigation occurs. User remains stuck on the checkout screen.</t>
  </si>
  <si>
    <t>https://drive.google.com/file/d/1fyWWRoZ1mhy7mbhrteW2OG8lT_FHTjpb/view?usp=sharing</t>
  </si>
  <si>
    <t>Likely missing anchor &lt;a&gt; tag, disabled navigation event, or intentional UI restriction not documented in requirements. Needs developer clarification.</t>
  </si>
  <si>
    <t>BUG_LOGIN_004</t>
  </si>
  <si>
    <t>Login – Performance</t>
  </si>
  <si>
    <t>Login process is extremely slow after entering username and password</t>
  </si>
  <si>
    <t>TC_PGU_027</t>
  </si>
  <si>
    <t>When the user enters valid credentials and clicks the LOGIN button, the system takes an unusually long time to respond. The login process shows lag, delays, or temporary freezing before redirecting to the landing page. This negatively impacts user experience and indicates performance degradation in the authentication module</t>
  </si>
  <si>
    <t>1. Open the login page (https://www.saucedemo.com/v2. Enter a valid username in the Username field
3. Enter a valid password in the Password field
4. Click the LOGIN button
5. Observe the duration it takes to load the landing page</t>
  </si>
  <si>
    <t>The system should authenticate and redirect to the landing page within 1–2 seconds with no visible delay, lag, or freeze.</t>
  </si>
  <si>
    <t>Login takes significantly longer than expected; the page delays before responding, causing slow performance and inconsistent loading.</t>
  </si>
  <si>
    <t>https://drive.google.com/file/d/1QWCD3Fsue7W3UmtWYtZ4s809Kel4WQxv/view?usp=sharing</t>
  </si>
  <si>
    <t>Possible slow authentication API response, poor client-side rendering, or network bottleneck. Needs developer analysis to identify backend or frontend delay.</t>
  </si>
  <si>
    <t>BUG_CART_005</t>
  </si>
  <si>
    <t>Continue Shopping Button Performance</t>
  </si>
  <si>
    <t>Back to Shopping” button freezes and takes ~8 seconds to navigate back to product page</t>
  </si>
  <si>
    <t>TC_PGU_031</t>
  </si>
  <si>
    <t>When clicking the “Back to Shopping” button on the Cart page, the application freezes and delays navigation. Instead of instantly redirecting to the product landing page, the system takes approximately 8 seconds and shows a UI freeze before transitioning. This significantly impacts user experience and indicates a performance defect.</t>
  </si>
  <si>
    <t>1. Go to https://www.saucedemo.com/v1
2. Enter valid username &amp; password
3. Click LOGIN
4. Add multiple products from the landing page
5. Click the Cart icon
6. Click “Back to Shopping” button
7. Observe navigation speed and UI responsiveness</t>
  </si>
  <si>
    <t>The “Back to Shopping” button should redirect the user to the product landing page immediately, with no lag, freezing, or delay.</t>
  </si>
  <si>
    <t>Navigation takes around 8 seconds, and the UI freezes briefly before redirecting to the landing page.</t>
  </si>
  <si>
    <t>https://drive.google.com/file/d/1jxuKTIGQnOs6-74L5UYC3zyIoH8JnwW6/view?usp=sharing</t>
  </si>
  <si>
    <t>Root cause likely related to inefficient re-rendering of product listing, heavy DOM updates</t>
  </si>
  <si>
    <t>BUG_LongSession_006</t>
  </si>
  <si>
    <t>Session Management / Authentication</t>
  </si>
  <si>
    <t>Website logs out after 5 minutes and shows an error when user tries to access any feature</t>
  </si>
  <si>
    <t>TC_PGU_041</t>
  </si>
  <si>
    <t>After the user stays logged in for more than 5 minutes, attempting to reach any feature (Cart, Menu items, Product page, Checkout, etc.) causes an automatic logout followed by an error.</t>
  </si>
  <si>
    <t>1. Go to https://www.saucedemo.com/v1/
2. Enter valid username and password
3. Click LOGIN
4. Stay idle for 5+ minutes (do not click anything)
5. Try to access any feature (Cart, About, All Items, Sort, Product Page, Checkout)
6. Observe system behavior</t>
  </si>
  <si>
    <t>1. User should remain logged in for the defined session duration (if 5 minutes is intended, the system should redirect cleanly back to login without errors).
2. No errors should appear when navigating after timeout.
3. System should either:
• Renew session automatically, OR
• Redirect properly to login page.</t>
  </si>
  <si>
    <t>1. User is logged out silently after 5 minutes.
2. When clicking any feature afterward, an error message appears instead of a proper logout or login redirect.
3. Navigation breaks, and user must manually restart the session.</t>
  </si>
  <si>
    <t>https://drive.google.com/file/d/1qV7XGRGG9AEnNYiXEDeewim-IOW2dKba/view?usp=sharing</t>
  </si>
  <si>
    <t>Most likely improper session expiration handling. Instead of triggering a clean logout,</t>
  </si>
  <si>
    <t>BUG_ContinueShopping_007</t>
  </si>
  <si>
    <t>“Back to Shopping / Continue Shopping” button freezes and takes ~8 seconds to navigate</t>
  </si>
  <si>
    <t>TC_PGU_045</t>
  </si>
  <si>
    <t>When the user clicks the Continue Shopping / Back to Shopping button on the Cart page, the system freezes and delays navigation.</t>
  </si>
  <si>
    <t>1. Go to https://www.saucedemo.com/v1/
2. Enter valid username and password
3. Click LOGIN
4. Add multiple products from the landing page
5. Click the Cart icon (top-right)
6. Click the “Back to Shopping / Continue Shopping” button
7. Observe the UI behavior and delay</t>
  </si>
  <si>
    <t>1. Continue Shopping should instantly redirect to the landing product page.
2. No UI freeze, delay, stutter, or blocking should occur.</t>
  </si>
  <si>
    <t>1. Button causes ~8 second lag before navigation.
2. UI becomes unresponsive/frozen during this time.
3. After the freeze, it eventually redirects to the landing page.</t>
  </si>
  <si>
    <t>https://drive.google.com/file/d/1IuIOLIT1lw_Qr-aMjGKaXDwWMVCSuw1e/view?usp=sharing</t>
  </si>
  <si>
    <t>BUG_MenuAllItems_008</t>
  </si>
  <si>
    <t>Selecting All Items Causes ~8 Second Lag</t>
  </si>
  <si>
    <t>TC_PGU_048</t>
  </si>
  <si>
    <t>Selecting 'All Items' from hamburger menu freezes UI for ~8 seconds before loading.</t>
  </si>
  <si>
    <t>1.Login
2.Open hamburger menu
3.Click All Items
4.Observe freeze</t>
  </si>
  <si>
    <t>Instant refresh with no lag.</t>
  </si>
  <si>
    <t>Freeze ~8 seconds before loading.</t>
  </si>
  <si>
    <t>https://drive.google.com/file/d/1GgykLqrnv6tv3XSIr-VY3kBQaVuRcVz2/view?usp=sharing</t>
  </si>
  <si>
    <t>Likely heavy reload or JS blocking thread</t>
  </si>
  <si>
    <t>BUG_SortLag_009</t>
  </si>
  <si>
    <t>Sorting Options Cause Freeze for 8 Seconds</t>
  </si>
  <si>
    <t>TC_PGU_051</t>
  </si>
  <si>
    <t>Selecting any sorting option results in an ~8 second UI freeze.</t>
  </si>
  <si>
    <t>1.Login
2.Open sort options
3.Select any sorting option
4.Observe delay</t>
  </si>
  <si>
    <t>Instant sorting.</t>
  </si>
  <si>
    <t>8-second freeze.</t>
  </si>
  <si>
    <t>https://drive.google.com/file/d/1nbeZ0jkBYL_njbt891XlzbX4pGDJXB1P/view?usp=sharing</t>
  </si>
  <si>
    <t>Likely slow filtering or heavy DOM repaint</t>
  </si>
  <si>
    <t>BUG_CancelLag_010</t>
  </si>
  <si>
    <t>Checkout Info</t>
  </si>
  <si>
    <t>Cancel Button Freezes Before Navigation</t>
  </si>
  <si>
    <t>TC_PGU_052</t>
  </si>
  <si>
    <t>Cancel button lags and freezes before loading cart page.</t>
  </si>
  <si>
    <t>1.Login
2.Add product
3.Go to Checkout
4.Click Cancel
5.Observe freeze</t>
  </si>
  <si>
    <t>Instant navigation to cart.</t>
  </si>
  <si>
    <t>Freeze before navigating.</t>
  </si>
  <si>
    <t>https://drive.google.com/file/d/195GH6BDXwnR1G_jfQi5ZhQUH4rs3LyVD/view?usp=sharing</t>
  </si>
  <si>
    <t>Possible slow render or event-blocking script</t>
  </si>
  <si>
    <t>BUG_BackHomeLag_011</t>
  </si>
  <si>
    <t>Checkout Complete</t>
  </si>
  <si>
    <t>Back Home Button Freezes Before Loading Landing Page</t>
  </si>
  <si>
    <t>TC_PGU_055</t>
  </si>
  <si>
    <t>Back Home button takes ~8 seconds and freezes UI before redirect.</t>
  </si>
  <si>
    <t>1.Login
2.Complete checkout
3.Click Back Home
4.Observe delay</t>
  </si>
  <si>
    <t>Instant redirect.</t>
  </si>
  <si>
    <t>Freeze ~8 seconds.</t>
  </si>
  <si>
    <t>https://drive.google.com/file/d/1tTb_ts7QKB37424V3yHM9JtKhau0Rdpx/view?usp=sharing</t>
  </si>
  <si>
    <t>Navigation delay likely due to full page re-render or blocking function</t>
  </si>
  <si>
    <t>BUG_ResetApp_012</t>
  </si>
  <si>
    <t>Menu Performance – Reset App State</t>
  </si>
  <si>
    <t>Reset App State is non-functional and login freezes for ~8 seconds</t>
  </si>
  <si>
    <t>Cycle 2 – Performance Testing</t>
  </si>
  <si>
    <t>TC_PGU_057</t>
  </si>
  <si>
    <t>The Reset App State feature is not functioning at all.</t>
  </si>
  <si>
    <t>1. Go to https://www.saucedemo.com/v1/
2. Enter valid username in Username field
3. Enter valid password in Password field
4. Click LOGIN
5. Observe login freeze for ~8 seconds
6. Click the Hamburger Menu (☰)
7. Click Reset App State
8. Observe system behavior</t>
  </si>
  <si>
    <t>1. Login redirect should occur instantly (1–2 seconds)
2. Reset App State should immediately reset all cart data, product states, and session values
3. UI should visually refresh or reload to confirm the reset</t>
  </si>
  <si>
    <t>1. Login takes ~8 seconds and UI freezes
2. Menu opens normally
3. Reset App State performs no action — app does not refresh or reset
4. No UI feedback, no state change, no reset applied</t>
  </si>
  <si>
    <t>https://drive.google.com/file/d/1q8HNasV2OIs3Ulylqbw2NlXAf9juF7l5/view?usp=sharing</t>
  </si>
  <si>
    <t>Reset App State function appears unimplemented or has failed linkage to backend/state-clear logic. Login freeze suggests performance degradation in authentication routine or blocking process before landing page render. Investigation required in both Menu and Login modules.</t>
  </si>
  <si>
    <t>BUG_LOGO_013</t>
  </si>
  <si>
    <t>Performance Glitch User Can't go to landing page by pressing on the logo from the product page</t>
  </si>
  <si>
    <t>A.Y</t>
  </si>
  <si>
    <t>TC_PGU_058</t>
  </si>
  <si>
    <t>When the user tries to go to landing page by clicking on the logo it's not clickable so user can't navigate to landing page</t>
  </si>
  <si>
    <t xml:space="preserve">1. Login success no errors given
2. Redirect to SWAGLABS landing page
3. Redirected to each product page successfully
4. NO Redirect to Landing Page </t>
  </si>
  <si>
    <t>A.Y.</t>
  </si>
  <si>
    <t>Bugs : locked_out_user &amp; error_user</t>
  </si>
  <si>
    <t>Bug_01</t>
  </si>
  <si>
    <t>Google Chrome: Version 142.0.7444.175</t>
  </si>
  <si>
    <t>TC_EU_010</t>
  </si>
  <si>
    <t>Open</t>
  </si>
  <si>
    <t>15/11/2025</t>
  </si>
  <si>
    <t>Bug_02</t>
  </si>
  <si>
    <t>TC_EU_012</t>
  </si>
  <si>
    <t>Bug_03</t>
  </si>
  <si>
    <t>TC_EU_013</t>
  </si>
  <si>
    <t>https://drive.google.com/file/d/121xUw8tXgCSsa3WdQVoQ4Fhiavo5nCv5/view?usp=drive_link</t>
  </si>
  <si>
    <t>Bug_04</t>
  </si>
  <si>
    <t>TC_EU_014</t>
  </si>
  <si>
    <t>Bug_05</t>
  </si>
  <si>
    <t>TC_EU_015</t>
  </si>
  <si>
    <t>https://drive.google.com/file/d/1R34zOjtsnJAKZ28bNC9vd1BISGtJUR6h/view?usp=drive_link</t>
  </si>
  <si>
    <t>Bug_06</t>
  </si>
  <si>
    <t>TC_EU_016</t>
  </si>
  <si>
    <t>Bug_07</t>
  </si>
  <si>
    <t>TC_EU_020</t>
  </si>
  <si>
    <t>Bug_08</t>
  </si>
  <si>
    <t>TC_EU_028</t>
  </si>
  <si>
    <t>https://drive.google.com/file/d/1-HowPzfuo598Ii5L0ymuZn0y-NZEcs_E/view?usp=drive_link</t>
  </si>
  <si>
    <t>Bug_09</t>
  </si>
  <si>
    <t>TC_EU_029</t>
  </si>
  <si>
    <t>https://drive.google.com/file/d/1RmTfPN_TOVYBieDXVKrh5Bq_HY7jQGWy/view?usp=drive_link</t>
  </si>
  <si>
    <t>Bug_10</t>
  </si>
  <si>
    <t>TC_EU_031</t>
  </si>
  <si>
    <t>https://drive.google.com/file/d/1Ou-pom_Yy7z34OShUCBEwlSzSkSuIbzQ/view?usp=drive_link</t>
  </si>
  <si>
    <t>Bugs : Problem User</t>
  </si>
  <si>
    <t>BUG_001</t>
  </si>
  <si>
    <t>medium</t>
  </si>
  <si>
    <t>low</t>
  </si>
  <si>
    <t>chrome browser</t>
  </si>
  <si>
    <t>TC_PU_001</t>
  </si>
  <si>
    <t>BUG_002</t>
  </si>
  <si>
    <t>high</t>
  </si>
  <si>
    <t>TC_PU_003</t>
  </si>
  <si>
    <t xml:space="preserve">products are sortes alphabetically 
from ( Z-A) </t>
  </si>
  <si>
    <t>TC_PU_004</t>
  </si>
  <si>
    <t>TC_PU_005</t>
  </si>
  <si>
    <t>products are sortes from high 
to low price</t>
  </si>
  <si>
    <t>no action 
happened</t>
  </si>
  <si>
    <t>critical</t>
  </si>
  <si>
    <t>TC_PU_006</t>
  </si>
  <si>
    <t>1-open "https://www.saucedemo.com/" website
2-enter "problem_user" in the username
3-enter "secret_sauce" in the password
4-press login button
5-from the products 
6-click "on add to cart" box for each product</t>
  </si>
  <si>
    <t>TC_PU_007</t>
  </si>
  <si>
    <t>1-open "https://www.saucedemo.com/" website
2-enter "problem_user" in the username
3-enter "secret_sauce" in the password
4-press login button
5-from the products 
6-click "remove" button for each added  products</t>
  </si>
  <si>
    <t>TC_PU_008</t>
  </si>
  <si>
    <t xml:space="preserve">1-open "https://www.saucedemo.com/" website
2-enter "problem_user" in the username
3-enter "secret_sauce" in the password
4-press login button
5-from the products click on (Sauce Labs Backpack )product
6-this product page will appear 
7-click on add to cart button for this product </t>
  </si>
  <si>
    <t>TC_PU_009</t>
  </si>
  <si>
    <t xml:space="preserve">1-open "https://www.saucedemo.com/" website
2-enter "problem_user" in the username
3-enter "secret_sauce" in the password
4-press login button
5-from the products click on (Sauce Labs Bike Light)product
6-this product page will appear 
7-click on add to cart button for this product </t>
  </si>
  <si>
    <t>TC_PU_010</t>
  </si>
  <si>
    <t xml:space="preserve">1-open "https://www.saucedemo.com/" website
2-enter "problem_user" in the username
3-enter "secret_sauce" in the password
4-press login button
5-from the products click on (Sauce Labs Bolt T-Shirt)product
6-this product page will appear 
7-click on add to cart button for this product </t>
  </si>
  <si>
    <t>TC_PU_011</t>
  </si>
  <si>
    <t xml:space="preserve">1-open "https://www.saucedemo.com/" website
2-enter "problem_user" in the username
3-enter "secret_sauce" in the password
4-press login button
5-from the products click on (Sauce Labs Onesie)product
6-this product page will appear 
7-click on add to cart button for this product </t>
  </si>
  <si>
    <t>TC_PU_014</t>
  </si>
  <si>
    <t>1-open "https://www.saucedemo.com/" website
2-enter "problem_user" in the username
3-enter "secret_sauce" in the password
4-press login button
5-from the catr item on the upper right side of the page click om it
6-the cart menu page will appear click on "checkout" button down right side of the bage 
7-in the last name enter last name</t>
  </si>
  <si>
    <t>Bugs : Standered User</t>
  </si>
  <si>
    <t>Check out</t>
  </si>
  <si>
    <t>Checkout with digits in First Name</t>
  </si>
  <si>
    <t>MA</t>
  </si>
  <si>
    <t>C1</t>
  </si>
  <si>
    <t>HIGH</t>
  </si>
  <si>
    <t>Chrome 142.0.7444.163</t>
  </si>
  <si>
    <t>TC_020</t>
  </si>
  <si>
    <t>Verify that system validates and rejects numeric input in First Name field</t>
  </si>
  <si>
    <t>1. Click 'Finish'
2. Enter First Name: '000000'
3. Enter Last Name: 'Ahmed'
4. Enter Zip: '5342120'
5. Click 'Continue'
6. Review order</t>
  </si>
  <si>
    <t>Error message: "Error: First Name must be characters"</t>
  </si>
  <si>
    <t>Checkout success message</t>
  </si>
  <si>
    <t>Checkout with special characters
 in First Name</t>
  </si>
  <si>
    <t>TC_021</t>
  </si>
  <si>
    <t>Verify that system validates and rejects special characters in First Name field</t>
  </si>
  <si>
    <t>1. Click 'Finish'
2. Enter First Name: '######'
3. Enter Last Name: 'Ahmed'
4. Enter Zip: '5342120'
5. Click 'Continue'
6. Review order
7. Click 'Finish'</t>
  </si>
  <si>
    <t>Error message: "Error:
 First Name must be characters</t>
  </si>
  <si>
    <t>Checkout with digits in Last Name</t>
  </si>
  <si>
    <t>TC_023</t>
  </si>
  <si>
    <t>Verify that system validates and
 rejects numeric input in Last Name field</t>
  </si>
  <si>
    <t>1. Enter First Name: 'Mariam'
2. Enter Last Name: '585H6'
3. Enter Zip: '5342120'
4. Click 'Continue'
5. Review order
6. Click 'Finish'</t>
  </si>
  <si>
    <t>Error message: "Error: Last Name is required"</t>
  </si>
  <si>
    <t>Redirection to the checkout details page, then when clicking on finish it redirects to insert checkout data</t>
  </si>
  <si>
    <t>BUG_004</t>
  </si>
  <si>
    <t>Checkout with special characters in
 Last Name</t>
  </si>
  <si>
    <t>Chrome
142.0.7444.163</t>
  </si>
  <si>
    <t>TC_024</t>
  </si>
  <si>
    <t>Verify that system validates and rejects
special characters in Last Name field</t>
  </si>
  <si>
    <t>1. Enter First Name: 'Mariam'
2. Enter Last Name: '######'
3. Enter Zip: '5342120'
4. Click 'Continue'
5. Review order
6. Click 'Finish'</t>
  </si>
  <si>
    <t xml:space="preserve">Error message: "Error: Last Name must be characters"Checkout success </t>
  </si>
  <si>
    <t>Bugs : Visual user</t>
  </si>
  <si>
    <t>BUG_VU_015</t>
  </si>
  <si>
    <t>Product Page UI Misalignment</t>
  </si>
  <si>
    <t>Web</t>
  </si>
  <si>
    <t>TC_VU_015</t>
  </si>
  <si>
    <t>Product page UI elements appear misaligned for Visual User.</t>
  </si>
  <si>
    <t>UI eleme1. Login success no errors given
2. Redirect to SWAGLABS landing page
3.  redirected to each product page
4. each product page buttons UI/UX are not correctnts are misaligned for Visual User.</t>
  </si>
  <si>
    <t>BUG_VU_016</t>
  </si>
  <si>
    <t>Sorting</t>
  </si>
  <si>
    <t>Incorrect Sorting Price &amp; Wrong Product Image</t>
  </si>
  <si>
    <t>TC_VU_016</t>
  </si>
  <si>
    <t>Product sorting displays incorrect prices and wrong image (dog picture).</t>
  </si>
  <si>
    <t>1. Login success no errors given
2. Redirect to SWAGLABS landing page
3. Each sorting type is done successfully
4. price NOT VALID for each sorting
5. First product in each sorting has a dog picture instead of product picture</t>
  </si>
  <si>
    <t>BUG_VU_017</t>
  </si>
  <si>
    <t>Product Page</t>
  </si>
  <si>
    <t>Mismatched Product Details Between Listing &amp; Product Page</t>
  </si>
  <si>
    <t>TC_VU_017</t>
  </si>
  <si>
    <t>Landing page and product page show different product images and prices.</t>
  </si>
  <si>
    <t>BUG_VU_019</t>
  </si>
  <si>
    <t>Swag Labs Logo Not Clickable on Product Page</t>
  </si>
  <si>
    <t>TC_VU_019</t>
  </si>
  <si>
    <t>Swag Labs logo does not navigate user back to landing page.</t>
  </si>
  <si>
    <t>BUG_VU_021</t>
  </si>
  <si>
    <t>Store Logo Unresponsive on Cart Page</t>
  </si>
  <si>
    <t>TC_VU_021</t>
  </si>
  <si>
    <t>Swag Labs logo does not navigate from cart to home.</t>
  </si>
  <si>
    <t>BUG_VU_024</t>
  </si>
  <si>
    <t>Cart Page UI Elements Misaligned</t>
  </si>
  <si>
    <t>TC_VU_024</t>
  </si>
  <si>
    <t>Checkout/back buttons overlap or appear misplaced.</t>
  </si>
  <si>
    <t>1.navigates you to SWAGLAPS login page
2. Login success no errors given
3. redirect to SWAGLABS landing page
3. cart icon is not misplaced
4-redirects you to an empty cart page
5-buttons in  cart are not misplaced
6-navigation to Checkout: Your Information
6-information page UI is correct</t>
  </si>
  <si>
    <t>BUG_VU_027</t>
  </si>
  <si>
    <t>Unable to Change Product Quantity</t>
  </si>
  <si>
    <t>TC_VU_027</t>
  </si>
  <si>
    <t>Quantity value cannot be modified in the cart page.</t>
  </si>
  <si>
    <t>BUG_VU_031</t>
  </si>
  <si>
    <t>Checkout Button Active When Cart Is Empty</t>
  </si>
  <si>
    <t>TC_VU_031</t>
  </si>
  <si>
    <t>Checkout proceeds even when cart is empty.</t>
  </si>
  <si>
    <t>BUG_VU_035</t>
  </si>
  <si>
    <t>Swag Labs Logo Not Clickable in Checkout</t>
  </si>
  <si>
    <t>TC_VU_035</t>
  </si>
  <si>
    <t>Logo in checkout page does not redirect to landing page.</t>
  </si>
  <si>
    <t>Linked Test Cases</t>
  </si>
  <si>
    <t>Coverage Status</t>
  </si>
  <si>
    <t>Total Test Cases</t>
  </si>
  <si>
    <t>Blocked</t>
  </si>
  <si>
    <t>Coverage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</si>
</sst>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1"/>
      <color theme="1"/>
      <name val="Calibri"/>
      <scheme val="minor"/>
    </font>
    <font>
      <sz val="11"/>
      <color theme="1"/>
      <name val="Calibri"/>
      <scheme val="minor"/>
    </font>
    <font>
      <b/>
      <sz val="11"/>
      <color theme="0"/>
      <name val="Calibri"/>
      <family val="2"/>
      <scheme val="minor"/>
    </font>
    <font>
      <b/>
      <sz val="11"/>
      <color theme="1"/>
      <name val="Calibri"/>
      <family val="2"/>
      <scheme val="minor"/>
    </font>
    <font>
      <u/>
      <sz val="11"/>
      <color theme="10"/>
      <name val="Calibri"/>
      <family val="2"/>
      <scheme val="minor"/>
    </font>
    <font>
      <sz val="8"/>
      <name val="Calibri"/>
      <family val="2"/>
      <scheme val="minor"/>
    </font>
    <font>
      <b/>
      <sz val="11"/>
      <color theme="0"/>
      <name val="Calibri"/>
      <family val="2"/>
    </font>
    <font>
      <b/>
      <sz val="11"/>
      <color rgb="FFFFFFFF"/>
      <name val="Calibri"/>
      <family val="2"/>
      <scheme val="minor"/>
    </font>
    <font>
      <sz val="11"/>
      <color rgb="FF000000"/>
      <name val="Calibri"/>
      <family val="2"/>
      <scheme val="minor"/>
    </font>
    <font>
      <b/>
      <sz val="12"/>
      <color theme="0"/>
      <name val="Calibri"/>
      <family val="2"/>
      <scheme val="minor"/>
    </font>
    <font>
      <sz val="12"/>
      <color theme="1"/>
      <name val="Calibri"/>
      <family val="2"/>
      <scheme val="minor"/>
    </font>
    <font>
      <b/>
      <sz val="12"/>
      <color theme="0"/>
      <name val="Arial"/>
      <family val="2"/>
    </font>
    <font>
      <b/>
      <sz val="12"/>
      <color theme="0"/>
      <name val="Aptos Narrow"/>
      <family val="2"/>
    </font>
    <font>
      <sz val="11"/>
      <color theme="0"/>
      <name val="Calibri"/>
      <family val="2"/>
      <scheme val="minor"/>
    </font>
    <font>
      <b/>
      <sz val="28"/>
      <color theme="1"/>
      <name val="Calibri"/>
      <family val="2"/>
      <scheme val="minor"/>
    </font>
    <font>
      <sz val="13"/>
      <color theme="1"/>
      <name val="Calibri"/>
      <family val="2"/>
      <scheme val="minor"/>
    </font>
    <font>
      <b/>
      <sz val="13"/>
      <color rgb="FFFF0000"/>
      <name val="Calibri"/>
      <family val="2"/>
      <scheme val="minor"/>
    </font>
    <font>
      <sz val="13"/>
      <color rgb="FFFF0000"/>
      <name val="Calibri"/>
      <family val="2"/>
      <scheme val="minor"/>
    </font>
    <font>
      <sz val="13"/>
      <name val="Calibri"/>
      <family val="2"/>
      <scheme val="minor"/>
    </font>
    <font>
      <b/>
      <sz val="13"/>
      <color theme="1"/>
      <name val="Calibri"/>
      <family val="2"/>
      <scheme val="minor"/>
    </font>
    <font>
      <b/>
      <sz val="11"/>
      <color rgb="FF333333"/>
      <name val="Calibri"/>
      <family val="2"/>
      <scheme val="minor"/>
    </font>
    <font>
      <sz val="11"/>
      <color rgb="FF333333"/>
      <name val="Calibri"/>
      <family val="2"/>
      <scheme val="minor"/>
    </font>
    <font>
      <sz val="8"/>
      <color rgb="FF333333"/>
      <name val="Segoe UI"/>
    </font>
    <font>
      <sz val="11"/>
      <color rgb="FF000000"/>
      <name val="Calibri"/>
      <family val="2"/>
    </font>
    <font>
      <u/>
      <sz val="11"/>
      <color rgb="FF0000FF"/>
      <name val="Calibri"/>
      <family val="2"/>
    </font>
    <font>
      <sz val="11"/>
      <color rgb="FFFF0000"/>
      <name val="Calibri"/>
      <scheme val="minor"/>
    </font>
    <font>
      <b/>
      <sz val="11"/>
      <color rgb="FFFF0000"/>
      <name val="Calibri"/>
      <scheme val="minor"/>
    </font>
    <font>
      <sz val="11"/>
      <color rgb="FF000000"/>
      <name val="Calibri"/>
      <scheme val="minor"/>
    </font>
    <font>
      <u/>
      <sz val="11"/>
      <color rgb="FF0000FF"/>
      <name val="Calibri"/>
      <scheme val="minor"/>
    </font>
    <font>
      <u/>
      <sz val="11"/>
      <color theme="10"/>
      <name val="Calibri"/>
      <scheme val="minor"/>
    </font>
    <font>
      <u/>
      <sz val="11"/>
      <color theme="1"/>
      <name val="Calibri"/>
      <family val="2"/>
      <scheme val="minor"/>
    </font>
    <font>
      <sz val="11"/>
      <color theme="4"/>
      <name val="Calibri"/>
      <family val="2"/>
      <scheme val="minor"/>
    </font>
    <font>
      <sz val="28"/>
      <color rgb="FF000000"/>
      <name val="Calibri"/>
      <scheme val="minor"/>
    </font>
    <font>
      <b/>
      <sz val="18"/>
      <color rgb="FF000000"/>
      <name val="Calibri"/>
      <family val="2"/>
    </font>
    <font>
      <sz val="11"/>
      <color rgb="FF000000"/>
      <name val="Calibri"/>
    </font>
    <font>
      <b/>
      <sz val="16"/>
      <name val="Calibri"/>
      <family val="2"/>
    </font>
    <font>
      <sz val="11"/>
      <color rgb="FFE26B0A"/>
      <name val="Calibri"/>
    </font>
    <font>
      <b/>
      <sz val="16"/>
      <color rgb="FF000000"/>
      <name val="Calibri"/>
      <family val="2"/>
    </font>
    <font>
      <b/>
      <sz val="11"/>
      <color rgb="FF000000"/>
      <name val="Cambria"/>
      <family val="1"/>
      <scheme val="major"/>
    </font>
    <font>
      <sz val="28"/>
      <color rgb="FF000000"/>
      <name val="Calibri"/>
      <family val="2"/>
      <scheme val="minor"/>
    </font>
    <font>
      <b/>
      <sz val="11"/>
      <color rgb="FF000000"/>
      <name val="Calibri"/>
      <family val="2"/>
    </font>
  </fonts>
  <fills count="22">
    <fill>
      <patternFill patternType="none"/>
    </fill>
    <fill>
      <patternFill patternType="gray125"/>
    </fill>
    <fill>
      <patternFill patternType="solid">
        <fgColor theme="3"/>
        <bgColor indexed="64"/>
      </patternFill>
    </fill>
    <fill>
      <patternFill patternType="solid">
        <fgColor rgb="FF1F497D"/>
        <bgColor rgb="FF000000"/>
      </patternFill>
    </fill>
    <fill>
      <patternFill patternType="solid">
        <fgColor theme="3" tint="0.59999389629810485"/>
        <bgColor indexed="64"/>
      </patternFill>
    </fill>
    <fill>
      <patternFill patternType="solid">
        <fgColor rgb="FFFF0000"/>
        <bgColor indexed="64"/>
      </patternFill>
    </fill>
    <fill>
      <patternFill patternType="solid">
        <fgColor theme="3" tint="0.39997558519241921"/>
        <bgColor indexed="64"/>
      </patternFill>
    </fill>
    <fill>
      <patternFill patternType="solid">
        <fgColor rgb="FFF2DCDB"/>
        <bgColor rgb="FF000000"/>
      </patternFill>
    </fill>
    <fill>
      <patternFill patternType="solid">
        <fgColor rgb="FF00B050"/>
        <bgColor rgb="FF000000"/>
      </patternFill>
    </fill>
    <fill>
      <patternFill patternType="solid">
        <fgColor rgb="FFFFFFFF"/>
        <bgColor rgb="FF000000"/>
      </patternFill>
    </fill>
    <fill>
      <patternFill patternType="solid">
        <fgColor rgb="FFEECFCE"/>
        <bgColor rgb="FF000000"/>
      </patternFill>
    </fill>
    <fill>
      <patternFill patternType="solid">
        <fgColor rgb="FFFF0000"/>
        <bgColor rgb="FF000000"/>
      </patternFill>
    </fill>
    <fill>
      <patternFill patternType="solid">
        <fgColor rgb="FFE6B8B7"/>
        <bgColor rgb="FF000000"/>
      </patternFill>
    </fill>
    <fill>
      <patternFill patternType="solid">
        <fgColor rgb="FFE0A5A4"/>
        <bgColor rgb="FF000000"/>
      </patternFill>
    </fill>
    <fill>
      <patternFill patternType="solid">
        <fgColor rgb="FFDA9694"/>
        <bgColor rgb="FF000000"/>
      </patternFill>
    </fill>
    <fill>
      <patternFill patternType="solid">
        <fgColor rgb="FFC96563"/>
        <bgColor rgb="FF000000"/>
      </patternFill>
    </fill>
    <fill>
      <patternFill patternType="solid">
        <fgColor rgb="FFBD4441"/>
        <bgColor rgb="FF000000"/>
      </patternFill>
    </fill>
    <fill>
      <patternFill patternType="solid">
        <fgColor rgb="FF963634"/>
        <bgColor rgb="FF000000"/>
      </patternFill>
    </fill>
    <fill>
      <patternFill patternType="solid">
        <fgColor theme="4"/>
        <bgColor indexed="64"/>
      </patternFill>
    </fill>
    <fill>
      <patternFill patternType="solid">
        <fgColor rgb="FF5283BE"/>
        <bgColor indexed="64"/>
      </patternFill>
    </fill>
    <fill>
      <patternFill patternType="solid">
        <fgColor theme="0"/>
        <bgColor indexed="64"/>
      </patternFill>
    </fill>
    <fill>
      <patternFill patternType="solid">
        <fgColor theme="0"/>
        <bgColor rgb="FF000000"/>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
      <left style="medium">
        <color rgb="FFCCCCCC"/>
      </left>
      <right/>
      <top style="medium">
        <color rgb="FFFFFFFF"/>
      </top>
      <bottom style="medium">
        <color rgb="FFFFFFFF"/>
      </bottom>
      <diagonal/>
    </border>
    <border>
      <left style="medium">
        <color rgb="FFCCCCCC"/>
      </left>
      <right/>
      <top style="medium">
        <color rgb="FFCCCCCC"/>
      </top>
      <bottom style="medium">
        <color rgb="FFFFFFFF"/>
      </bottom>
      <diagonal/>
    </border>
  </borders>
  <cellStyleXfs count="2">
    <xf numFmtId="0" fontId="0" fillId="0" borderId="0"/>
    <xf numFmtId="0" fontId="5" fillId="0" borderId="0" applyNumberFormat="0" applyFill="0" applyBorder="0" applyAlignment="0" applyProtection="0"/>
  </cellStyleXfs>
  <cellXfs count="121">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5" fillId="0" borderId="0" xfId="1" applyAlignment="1">
      <alignment vertical="center" wrapText="1"/>
    </xf>
    <xf numFmtId="0" fontId="3" fillId="2" borderId="0" xfId="0" applyFont="1" applyFill="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left" vertical="center"/>
    </xf>
    <xf numFmtId="0" fontId="0" fillId="0" borderId="0" xfId="0" applyAlignment="1">
      <alignment horizontal="left" vertical="center"/>
    </xf>
    <xf numFmtId="0" fontId="8" fillId="3" borderId="1" xfId="0" applyFont="1" applyFill="1" applyBorder="1" applyAlignment="1">
      <alignment horizontal="left" vertical="center"/>
    </xf>
    <xf numFmtId="0" fontId="9" fillId="0" borderId="0" xfId="0" applyFont="1"/>
    <xf numFmtId="0" fontId="5" fillId="0" borderId="0" xfId="1"/>
    <xf numFmtId="0" fontId="3" fillId="2" borderId="0" xfId="0" applyFont="1" applyFill="1" applyAlignment="1">
      <alignment horizontal="left" vertical="center"/>
    </xf>
    <xf numFmtId="0" fontId="7" fillId="2" borderId="2" xfId="0" applyFont="1" applyFill="1" applyBorder="1" applyAlignment="1">
      <alignment horizontal="left" vertical="center"/>
    </xf>
    <xf numFmtId="0" fontId="0" fillId="0" borderId="0" xfId="0" applyAlignment="1">
      <alignment horizontal="left" vertical="center" wrapText="1"/>
    </xf>
    <xf numFmtId="0" fontId="5" fillId="0" borderId="0" xfId="1" applyAlignment="1">
      <alignment horizontal="left" vertical="center"/>
    </xf>
    <xf numFmtId="0" fontId="0" fillId="0" borderId="0" xfId="0" applyAlignment="1">
      <alignment horizontal="left" vertical="center" indent="1"/>
    </xf>
    <xf numFmtId="0" fontId="4" fillId="0" borderId="0" xfId="0" applyFont="1"/>
    <xf numFmtId="0" fontId="4" fillId="0" borderId="0" xfId="0" applyFont="1" applyAlignment="1">
      <alignment horizontal="left" vertical="center" indent="1"/>
    </xf>
    <xf numFmtId="0" fontId="10" fillId="2" borderId="0" xfId="0" applyFont="1" applyFill="1" applyAlignment="1">
      <alignment vertical="center"/>
    </xf>
    <xf numFmtId="0" fontId="10" fillId="2" borderId="0" xfId="0" applyFont="1" applyFill="1" applyAlignment="1">
      <alignment vertical="center" wrapText="1"/>
    </xf>
    <xf numFmtId="0" fontId="11" fillId="0" borderId="0" xfId="0" applyFont="1" applyAlignment="1">
      <alignment vertical="center"/>
    </xf>
    <xf numFmtId="0" fontId="5" fillId="0" borderId="0" xfId="1" applyAlignment="1">
      <alignment horizontal="center" vertical="center"/>
    </xf>
    <xf numFmtId="0" fontId="5" fillId="0" borderId="0" xfId="1" applyAlignment="1">
      <alignment horizontal="center" vertical="center" wrapText="1"/>
    </xf>
    <xf numFmtId="0" fontId="0" fillId="0" borderId="0" xfId="0" applyAlignment="1">
      <alignment vertical="center"/>
    </xf>
    <xf numFmtId="0" fontId="5" fillId="0" borderId="0" xfId="1" applyAlignment="1">
      <alignment vertical="center"/>
    </xf>
    <xf numFmtId="15" fontId="0" fillId="0" borderId="0" xfId="0" applyNumberFormat="1" applyAlignment="1">
      <alignment vertical="center" wrapText="1"/>
    </xf>
    <xf numFmtId="0" fontId="0" fillId="0" borderId="0" xfId="0" applyAlignment="1">
      <alignment horizontal="left"/>
    </xf>
    <xf numFmtId="0" fontId="0" fillId="0" borderId="0" xfId="0" applyAlignment="1">
      <alignment horizontal="center"/>
    </xf>
    <xf numFmtId="0" fontId="12" fillId="2" borderId="3"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left" vertical="center" wrapText="1"/>
    </xf>
    <xf numFmtId="0" fontId="12" fillId="2" borderId="6"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4" fillId="2" borderId="7" xfId="1" quotePrefix="1" applyFont="1" applyFill="1" applyBorder="1" applyAlignment="1">
      <alignment horizontal="center" vertical="center" wrapText="1"/>
    </xf>
    <xf numFmtId="0" fontId="16" fillId="0" borderId="0" xfId="0" applyFont="1" applyAlignment="1">
      <alignment horizontal="left" vertical="top" wrapText="1"/>
    </xf>
    <xf numFmtId="0" fontId="16" fillId="0" borderId="0" xfId="0" applyFont="1" applyAlignment="1">
      <alignment horizontal="center" vertical="center"/>
    </xf>
    <xf numFmtId="0" fontId="16" fillId="0" borderId="0" xfId="0" applyFont="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horizontal="center" vertical="center" wrapText="1" readingOrder="1"/>
    </xf>
    <xf numFmtId="0" fontId="4" fillId="0" borderId="0" xfId="0" applyFont="1" applyAlignment="1">
      <alignment horizontal="center" vertical="center" wrapText="1"/>
    </xf>
    <xf numFmtId="0" fontId="0" fillId="0" borderId="0" xfId="0" applyAlignment="1">
      <alignment horizontal="left" vertical="top" wrapText="1"/>
    </xf>
    <xf numFmtId="0" fontId="0" fillId="0" borderId="0" xfId="0" applyAlignment="1">
      <alignment vertical="top" wrapText="1"/>
    </xf>
    <xf numFmtId="0" fontId="5" fillId="0" borderId="0" xfId="1" applyAlignment="1">
      <alignment horizontal="left" vertical="top" wrapText="1"/>
    </xf>
    <xf numFmtId="0" fontId="3" fillId="2" borderId="0" xfId="0" applyFont="1" applyFill="1" applyAlignment="1">
      <alignment horizontal="left" vertical="top" wrapText="1"/>
    </xf>
    <xf numFmtId="0" fontId="22" fillId="0" borderId="0" xfId="0" applyFont="1"/>
    <xf numFmtId="0" fontId="23" fillId="0" borderId="0" xfId="0" applyFont="1" applyAlignment="1">
      <alignment wrapText="1"/>
    </xf>
    <xf numFmtId="0" fontId="24" fillId="0" borderId="0" xfId="0" applyFont="1" applyAlignment="1">
      <alignment vertical="center" wrapText="1"/>
    </xf>
    <xf numFmtId="0" fontId="25" fillId="0" borderId="0" xfId="0" applyFont="1" applyAlignment="1">
      <alignment vertical="center" wrapText="1"/>
    </xf>
    <xf numFmtId="0" fontId="24" fillId="0" borderId="0" xfId="0" applyFont="1" applyAlignment="1">
      <alignment vertical="center"/>
    </xf>
    <xf numFmtId="0" fontId="28" fillId="0" borderId="0" xfId="0" applyFont="1" applyAlignment="1">
      <alignment vertical="center" wrapText="1"/>
    </xf>
    <xf numFmtId="0" fontId="29" fillId="0" borderId="0" xfId="0" applyFont="1" applyAlignment="1">
      <alignment vertical="center" wrapText="1"/>
    </xf>
    <xf numFmtId="0" fontId="28" fillId="0" borderId="0" xfId="0" applyFont="1" applyAlignment="1">
      <alignment vertical="center"/>
    </xf>
    <xf numFmtId="0" fontId="2" fillId="0" borderId="0" xfId="0" applyFont="1" applyAlignment="1">
      <alignment vertical="center"/>
    </xf>
    <xf numFmtId="0" fontId="29" fillId="0" borderId="0" xfId="0" applyFont="1" applyAlignment="1">
      <alignment vertical="center"/>
    </xf>
    <xf numFmtId="0" fontId="30" fillId="0" borderId="0" xfId="1" applyFont="1" applyFill="1" applyBorder="1" applyAlignment="1">
      <alignment vertical="center" wrapText="1"/>
    </xf>
    <xf numFmtId="0" fontId="3" fillId="2" borderId="0" xfId="0" applyFont="1" applyFill="1" applyAlignment="1">
      <alignment vertical="center" wrapText="1"/>
    </xf>
    <xf numFmtId="0" fontId="16" fillId="0" borderId="0" xfId="0" applyFont="1" applyAlignment="1">
      <alignment vertical="center"/>
    </xf>
    <xf numFmtId="0" fontId="0" fillId="5" borderId="0" xfId="0" applyFill="1" applyAlignment="1">
      <alignment vertical="center"/>
    </xf>
    <xf numFmtId="0" fontId="31" fillId="0" borderId="0" xfId="1" applyFont="1" applyAlignment="1">
      <alignment vertical="center" wrapText="1"/>
    </xf>
    <xf numFmtId="0" fontId="31" fillId="0" borderId="0" xfId="1" applyFont="1" applyAlignment="1">
      <alignment horizontal="left" vertical="center"/>
    </xf>
    <xf numFmtId="0" fontId="24" fillId="0" borderId="0" xfId="0" applyFont="1" applyAlignment="1">
      <alignment horizontal="center" vertical="center" wrapText="1"/>
    </xf>
    <xf numFmtId="0" fontId="25" fillId="0" borderId="0" xfId="0" applyFont="1" applyAlignment="1">
      <alignment horizontal="center" vertical="center" wrapText="1"/>
    </xf>
    <xf numFmtId="0" fontId="35" fillId="8" borderId="0" xfId="0" applyFont="1" applyFill="1" applyAlignment="1">
      <alignment horizontal="center" vertical="center" wrapText="1"/>
    </xf>
    <xf numFmtId="0" fontId="24" fillId="9" borderId="0" xfId="0" applyFont="1" applyFill="1" applyAlignment="1">
      <alignment horizontal="center" vertical="center" wrapText="1"/>
    </xf>
    <xf numFmtId="0" fontId="25" fillId="0" borderId="0" xfId="0" applyFont="1" applyAlignment="1">
      <alignment horizontal="center" vertical="center"/>
    </xf>
    <xf numFmtId="0" fontId="35" fillId="11" borderId="0" xfId="0" applyFont="1" applyFill="1" applyAlignment="1">
      <alignment horizontal="center" vertical="center" wrapText="1"/>
    </xf>
    <xf numFmtId="0" fontId="34" fillId="12" borderId="0" xfId="0" applyFont="1" applyFill="1" applyAlignment="1">
      <alignment horizontal="center" vertical="center" wrapText="1"/>
    </xf>
    <xf numFmtId="0" fontId="34" fillId="13" borderId="0" xfId="0" applyFont="1" applyFill="1" applyAlignment="1">
      <alignment horizontal="center" vertical="center" wrapText="1"/>
    </xf>
    <xf numFmtId="0" fontId="34" fillId="15" borderId="0" xfId="0" applyFont="1" applyFill="1" applyAlignment="1">
      <alignment horizontal="center" vertical="center" wrapText="1"/>
    </xf>
    <xf numFmtId="0" fontId="36" fillId="10" borderId="0" xfId="0" applyFont="1" applyFill="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5" fillId="0" borderId="0" xfId="1" applyFill="1" applyBorder="1" applyAlignment="1">
      <alignment horizontal="center" vertical="center" wrapText="1"/>
    </xf>
    <xf numFmtId="0" fontId="38" fillId="16" borderId="0" xfId="0" applyFont="1" applyFill="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xf>
    <xf numFmtId="0" fontId="39" fillId="0" borderId="0" xfId="0" applyFont="1" applyAlignment="1">
      <alignment horizontal="center" vertical="center" wrapText="1"/>
    </xf>
    <xf numFmtId="0" fontId="28" fillId="0" borderId="0" xfId="0" applyFont="1" applyAlignment="1">
      <alignment horizontal="center" vertical="center" wrapText="1"/>
    </xf>
    <xf numFmtId="0" fontId="0" fillId="18" borderId="0" xfId="0" applyFill="1"/>
    <xf numFmtId="0" fontId="0" fillId="0" borderId="0" xfId="0" applyAlignment="1">
      <alignment vertical="top"/>
    </xf>
    <xf numFmtId="0" fontId="0" fillId="0" borderId="0" xfId="0" applyAlignment="1">
      <alignment horizontal="left" vertical="top"/>
    </xf>
    <xf numFmtId="0" fontId="5" fillId="0" borderId="0" xfId="1"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0" fillId="19" borderId="0" xfId="0" applyFill="1"/>
    <xf numFmtId="0" fontId="10" fillId="2" borderId="0" xfId="0" applyFont="1" applyFill="1" applyAlignment="1">
      <alignment horizontal="center" vertical="center" wrapText="1"/>
    </xf>
    <xf numFmtId="0" fontId="24" fillId="8" borderId="0" xfId="0" applyFont="1" applyFill="1" applyAlignment="1">
      <alignment horizontal="center" vertical="center" wrapText="1"/>
    </xf>
    <xf numFmtId="0" fontId="0" fillId="20" borderId="0" xfId="0" applyFill="1" applyAlignment="1">
      <alignment vertical="center" wrapText="1"/>
    </xf>
    <xf numFmtId="0" fontId="0" fillId="20" borderId="0" xfId="0" applyFill="1" applyAlignment="1">
      <alignment horizontal="center" vertical="center" wrapText="1"/>
    </xf>
    <xf numFmtId="0" fontId="9" fillId="0" borderId="0" xfId="0" applyFont="1" applyAlignment="1">
      <alignment vertical="center" wrapText="1"/>
    </xf>
    <xf numFmtId="0" fontId="31" fillId="20" borderId="0" xfId="1" applyFont="1" applyFill="1" applyAlignment="1">
      <alignment vertical="center" wrapText="1"/>
    </xf>
    <xf numFmtId="0" fontId="31" fillId="20" borderId="0" xfId="1" applyFont="1" applyFill="1" applyAlignment="1">
      <alignment horizontal="left" vertical="center"/>
    </xf>
    <xf numFmtId="0" fontId="9" fillId="21" borderId="0" xfId="0" applyFont="1" applyFill="1" applyAlignment="1">
      <alignment vertical="center" wrapText="1"/>
    </xf>
    <xf numFmtId="0" fontId="16" fillId="20" borderId="0" xfId="0" applyFont="1" applyFill="1" applyAlignment="1">
      <alignment horizontal="center" vertical="center"/>
    </xf>
    <xf numFmtId="0" fontId="16" fillId="20" borderId="0" xfId="0" applyFont="1" applyFill="1" applyAlignment="1">
      <alignment horizontal="left" vertical="top" wrapText="1"/>
    </xf>
    <xf numFmtId="0" fontId="16" fillId="20" borderId="0" xfId="0" applyFont="1" applyFill="1" applyAlignment="1">
      <alignment horizontal="left" vertical="center" wrapText="1"/>
    </xf>
    <xf numFmtId="0" fontId="16" fillId="20" borderId="0" xfId="0" applyFont="1" applyFill="1" applyAlignment="1">
      <alignment horizontal="center" vertical="center" wrapText="1"/>
    </xf>
    <xf numFmtId="0" fontId="16" fillId="20" borderId="0" xfId="0" applyFont="1" applyFill="1" applyAlignment="1">
      <alignment vertical="center"/>
    </xf>
    <xf numFmtId="0" fontId="24" fillId="0" borderId="0" xfId="0" applyFont="1" applyAlignment="1">
      <alignment wrapText="1"/>
    </xf>
    <xf numFmtId="0" fontId="25" fillId="0" borderId="0" xfId="0" applyFont="1" applyAlignment="1">
      <alignment wrapText="1"/>
    </xf>
    <xf numFmtId="0" fontId="24" fillId="0" borderId="0" xfId="0" applyFont="1"/>
    <xf numFmtId="0" fontId="24" fillId="0" borderId="0" xfId="0" applyFont="1" applyAlignment="1">
      <alignment horizontal="center" wrapText="1"/>
    </xf>
    <xf numFmtId="0" fontId="24" fillId="0" borderId="0" xfId="0" applyFont="1" applyAlignment="1">
      <alignment horizontal="center"/>
    </xf>
    <xf numFmtId="0" fontId="1" fillId="0" borderId="0" xfId="0" applyFont="1" applyAlignment="1">
      <alignment vertical="center" wrapText="1"/>
    </xf>
    <xf numFmtId="0" fontId="15" fillId="6" borderId="0" xfId="0" applyFont="1" applyFill="1" applyAlignment="1">
      <alignment horizontal="center" vertical="center" wrapText="1"/>
    </xf>
    <xf numFmtId="0" fontId="15" fillId="4" borderId="0" xfId="0" applyFont="1" applyFill="1" applyAlignment="1">
      <alignment horizontal="center" vertical="center" wrapText="1"/>
    </xf>
    <xf numFmtId="0" fontId="34" fillId="16" borderId="0" xfId="0" applyFont="1" applyFill="1" applyAlignment="1">
      <alignment horizontal="center" vertical="center" wrapText="1"/>
    </xf>
    <xf numFmtId="0" fontId="34" fillId="17" borderId="0" xfId="0" applyFont="1" applyFill="1" applyAlignment="1">
      <alignment horizontal="center" vertical="center" wrapText="1"/>
    </xf>
    <xf numFmtId="0" fontId="34" fillId="14" borderId="0" xfId="0" applyFont="1" applyFill="1" applyAlignment="1">
      <alignment horizontal="center" vertical="center" wrapText="1"/>
    </xf>
    <xf numFmtId="0" fontId="34" fillId="10" borderId="0" xfId="0" applyFont="1" applyFill="1" applyAlignment="1">
      <alignment horizontal="center" vertical="center" wrapText="1"/>
    </xf>
    <xf numFmtId="0" fontId="41" fillId="7" borderId="0" xfId="0" applyFont="1" applyFill="1" applyAlignment="1">
      <alignment horizontal="center" vertical="center" wrapText="1"/>
    </xf>
    <xf numFmtId="0" fontId="33" fillId="6" borderId="0" xfId="0" applyFont="1" applyFill="1" applyAlignment="1">
      <alignment horizontal="center" vertical="center"/>
    </xf>
    <xf numFmtId="0" fontId="40" fillId="6" borderId="0" xfId="0" applyFont="1" applyFill="1" applyAlignment="1">
      <alignment horizontal="center"/>
    </xf>
    <xf numFmtId="0" fontId="32" fillId="6" borderId="0" xfId="0" applyFont="1" applyFill="1" applyAlignment="1">
      <alignment horizontal="center"/>
    </xf>
    <xf numFmtId="0" fontId="40" fillId="6" borderId="0" xfId="0" applyFont="1" applyFill="1" applyAlignment="1">
      <alignment horizontal="center" vertical="center"/>
    </xf>
    <xf numFmtId="0" fontId="32" fillId="6" borderId="0" xfId="0" applyFont="1" applyFill="1" applyAlignment="1">
      <alignment horizontal="center" vertical="center"/>
    </xf>
    <xf numFmtId="0" fontId="33" fillId="18" borderId="0" xfId="0" applyFont="1" applyFill="1" applyAlignment="1">
      <alignment horizontal="center" vertical="center"/>
    </xf>
    <xf numFmtId="0" fontId="38" fillId="17" borderId="0" xfId="0" applyFont="1" applyFill="1" applyAlignment="1">
      <alignment horizontal="center" vertical="center" wrapText="1"/>
    </xf>
  </cellXfs>
  <cellStyles count="2">
    <cellStyle name="Hyperlink" xfId="1" builtinId="8"/>
    <cellStyle name="Normal" xfId="0" builtinId="0"/>
  </cellStyles>
  <dxfs count="52">
    <dxf>
      <font>
        <color rgb="FFFF0000"/>
      </font>
    </dxf>
    <dxf>
      <font>
        <color rgb="FF00B050"/>
      </font>
    </dxf>
    <dxf>
      <font>
        <color rgb="FFFFC000"/>
      </font>
    </dxf>
    <dxf>
      <font>
        <color rgb="FFFF0000"/>
      </font>
    </dxf>
    <dxf>
      <font>
        <color theme="9" tint="-0.24994659260841701"/>
      </font>
    </dxf>
    <dxf>
      <font>
        <color theme="9" tint="-0.24994659260841701"/>
      </font>
    </dxf>
    <dxf>
      <font>
        <color theme="9" tint="-0.499984740745262"/>
      </font>
    </dxf>
    <dxf>
      <font>
        <color rgb="FF00B050"/>
      </font>
    </dxf>
    <dxf>
      <font>
        <color rgb="FFFFC000"/>
      </font>
    </dxf>
    <dxf>
      <font>
        <color rgb="FFFF0000"/>
      </font>
    </dxf>
    <dxf>
      <font>
        <color theme="9" tint="-0.24994659260841701"/>
      </font>
    </dxf>
    <dxf>
      <font>
        <color theme="9" tint="-0.24994659260841701"/>
      </font>
    </dxf>
    <dxf>
      <font>
        <color theme="9" tint="-0.499984740745262"/>
      </font>
    </dxf>
    <dxf>
      <font>
        <color rgb="FFFF0000"/>
      </font>
    </dxf>
    <dxf>
      <font>
        <color rgb="FF00B050"/>
      </font>
    </dxf>
    <dxf>
      <font>
        <color rgb="FFFFC000"/>
      </font>
    </dxf>
    <dxf>
      <font>
        <color rgb="FFFF0000"/>
      </font>
    </dxf>
    <dxf>
      <font>
        <color theme="9" tint="-0.24994659260841701"/>
      </font>
    </dxf>
    <dxf>
      <font>
        <color theme="9" tint="-0.499984740745262"/>
      </font>
    </dxf>
    <dxf>
      <font>
        <color rgb="FFFF0000"/>
      </font>
    </dxf>
    <dxf>
      <font>
        <color theme="9" tint="-0.24994659260841701"/>
      </font>
    </dxf>
    <dxf>
      <font>
        <color rgb="FFFFC000"/>
      </font>
    </dxf>
    <dxf>
      <font>
        <color rgb="FFFF0000"/>
      </font>
    </dxf>
    <dxf>
      <font>
        <color theme="9" tint="-0.24994659260841701"/>
      </font>
    </dxf>
    <dxf>
      <font>
        <color theme="9" tint="-0.24994659260841701"/>
      </font>
    </dxf>
    <dxf>
      <font>
        <color theme="9" tint="-0.499984740745262"/>
      </font>
    </dxf>
    <dxf>
      <font>
        <color rgb="FFFF0000"/>
      </font>
    </dxf>
    <dxf>
      <font>
        <color rgb="FF00B050"/>
      </font>
    </dxf>
    <dxf>
      <font>
        <color rgb="FF00B050"/>
      </font>
    </dxf>
    <dxf>
      <font>
        <color rgb="FFFF0000"/>
      </font>
    </dxf>
    <dxf>
      <font>
        <color rgb="FF00B050"/>
      </font>
    </dxf>
    <dxf>
      <font>
        <strike val="0"/>
        <u val="none"/>
        <color rgb="FFFF0000"/>
      </font>
      <border>
        <vertical/>
        <horizontal/>
      </border>
    </dxf>
    <dxf>
      <font>
        <color theme="1"/>
      </font>
      <fill>
        <patternFill>
          <bgColor rgb="FF00B050"/>
        </patternFill>
      </fill>
    </dxf>
    <dxf>
      <font>
        <color theme="1"/>
      </font>
      <fill>
        <patternFill>
          <bgColor rgb="FFFF0000"/>
        </patternFill>
      </fill>
    </dxf>
    <dxf>
      <font>
        <color theme="0"/>
      </font>
      <fill>
        <patternFill>
          <bgColor theme="1"/>
        </patternFill>
      </fill>
    </dxf>
    <dxf>
      <font>
        <color rgb="FF00B050"/>
      </font>
    </dxf>
    <dxf>
      <font>
        <strike val="0"/>
        <u val="none"/>
        <color rgb="FFFF0000"/>
      </font>
      <border>
        <vertical/>
        <horizontal/>
      </border>
    </dxf>
    <dxf>
      <font>
        <color theme="1"/>
      </font>
      <fill>
        <patternFill>
          <bgColor rgb="FF00B050"/>
        </patternFill>
      </fill>
    </dxf>
    <dxf>
      <font>
        <color theme="1"/>
      </font>
      <fill>
        <patternFill>
          <bgColor rgb="FFFF0000"/>
        </patternFill>
      </fill>
    </dxf>
    <dxf>
      <font>
        <color theme="0"/>
      </font>
      <fill>
        <patternFill>
          <bgColor theme="1"/>
        </patternFill>
      </fill>
    </dxf>
    <dxf>
      <font>
        <color theme="1"/>
      </font>
      <fill>
        <patternFill>
          <bgColor rgb="FF00B050"/>
        </patternFill>
      </fill>
    </dxf>
    <dxf>
      <font>
        <color theme="1"/>
      </font>
      <fill>
        <patternFill>
          <bgColor rgb="FFFF00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FFFF00"/>
        </patternFill>
      </fill>
    </dxf>
  </dxfs>
  <tableStyles count="0" defaultTableStyle="TableStyleMedium9" defaultPivotStyle="PivotStyleLight16"/>
  <colors>
    <mruColors>
      <color rgb="FF5283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27</xdr:row>
      <xdr:rowOff>266700</xdr:rowOff>
    </xdr:from>
    <xdr:to>
      <xdr:col>14</xdr:col>
      <xdr:colOff>2876550</xdr:colOff>
      <xdr:row>28</xdr:row>
      <xdr:rowOff>805118</xdr:rowOff>
    </xdr:to>
    <xdr:pic>
      <xdr:nvPicPr>
        <xdr:cNvPr id="2" name="Picture 1">
          <a:extLst>
            <a:ext uri="{FF2B5EF4-FFF2-40B4-BE49-F238E27FC236}">
              <a16:creationId xmlns:a16="http://schemas.microsoft.com/office/drawing/2014/main" id="{DE9F4EC3-621F-D3C5-B820-34C409DDF82D}"/>
            </a:ext>
          </a:extLst>
        </xdr:cNvPr>
        <xdr:cNvPicPr>
          <a:picLocks noChangeAspect="1"/>
        </xdr:cNvPicPr>
      </xdr:nvPicPr>
      <xdr:blipFill>
        <a:blip xmlns:r="http://schemas.openxmlformats.org/officeDocument/2006/relationships" r:embed="rId1"/>
        <a:stretch>
          <a:fillRect/>
        </a:stretch>
      </xdr:blipFill>
      <xdr:spPr>
        <a:xfrm>
          <a:off x="17754600" y="45996225"/>
          <a:ext cx="2876550" cy="1800225"/>
        </a:xfrm>
        <a:prstGeom prst="rect">
          <a:avLst/>
        </a:prstGeom>
      </xdr:spPr>
    </xdr:pic>
    <xdr:clientData/>
  </xdr:twoCellAnchor>
  <xdr:twoCellAnchor editAs="oneCell">
    <xdr:from>
      <xdr:col>14</xdr:col>
      <xdr:colOff>0</xdr:colOff>
      <xdr:row>28</xdr:row>
      <xdr:rowOff>0</xdr:rowOff>
    </xdr:from>
    <xdr:to>
      <xdr:col>14</xdr:col>
      <xdr:colOff>2847975</xdr:colOff>
      <xdr:row>29</xdr:row>
      <xdr:rowOff>208455</xdr:rowOff>
    </xdr:to>
    <xdr:pic>
      <xdr:nvPicPr>
        <xdr:cNvPr id="3" name="Picture 2">
          <a:extLst>
            <a:ext uri="{FF2B5EF4-FFF2-40B4-BE49-F238E27FC236}">
              <a16:creationId xmlns:a16="http://schemas.microsoft.com/office/drawing/2014/main" id="{7448FCE2-822F-6DEA-4B28-B62E4B1323DA}"/>
            </a:ext>
            <a:ext uri="{147F2762-F138-4A5C-976F-8EAC2B608ADB}">
              <a16:predDERef xmlns:a16="http://schemas.microsoft.com/office/drawing/2014/main" pred="{DE9F4EC3-621F-D3C5-B820-34C409DDF82D}"/>
            </a:ext>
          </a:extLst>
        </xdr:cNvPr>
        <xdr:cNvPicPr>
          <a:picLocks noChangeAspect="1"/>
        </xdr:cNvPicPr>
      </xdr:nvPicPr>
      <xdr:blipFill>
        <a:blip xmlns:r="http://schemas.openxmlformats.org/officeDocument/2006/relationships" r:embed="rId2"/>
        <a:stretch>
          <a:fillRect/>
        </a:stretch>
      </xdr:blipFill>
      <xdr:spPr>
        <a:xfrm>
          <a:off x="17754600" y="48053625"/>
          <a:ext cx="2847975" cy="1524000"/>
        </a:xfrm>
        <a:prstGeom prst="rect">
          <a:avLst/>
        </a:prstGeom>
      </xdr:spPr>
    </xdr:pic>
    <xdr:clientData/>
  </xdr:twoCellAnchor>
  <xdr:twoCellAnchor editAs="oneCell">
    <xdr:from>
      <xdr:col>14</xdr:col>
      <xdr:colOff>0</xdr:colOff>
      <xdr:row>33</xdr:row>
      <xdr:rowOff>0</xdr:rowOff>
    </xdr:from>
    <xdr:to>
      <xdr:col>14</xdr:col>
      <xdr:colOff>2914650</xdr:colOff>
      <xdr:row>34</xdr:row>
      <xdr:rowOff>395544</xdr:rowOff>
    </xdr:to>
    <xdr:pic>
      <xdr:nvPicPr>
        <xdr:cNvPr id="4" name="Picture 3">
          <a:extLst>
            <a:ext uri="{FF2B5EF4-FFF2-40B4-BE49-F238E27FC236}">
              <a16:creationId xmlns:a16="http://schemas.microsoft.com/office/drawing/2014/main" id="{BBEB90DE-82AB-9894-5A16-186897B00205}"/>
            </a:ext>
            <a:ext uri="{147F2762-F138-4A5C-976F-8EAC2B608ADB}">
              <a16:predDERef xmlns:a16="http://schemas.microsoft.com/office/drawing/2014/main" pred="{7448FCE2-822F-6DEA-4B28-B62E4B1323DA}"/>
            </a:ext>
          </a:extLst>
        </xdr:cNvPr>
        <xdr:cNvPicPr>
          <a:picLocks noChangeAspect="1"/>
        </xdr:cNvPicPr>
      </xdr:nvPicPr>
      <xdr:blipFill>
        <a:blip xmlns:r="http://schemas.openxmlformats.org/officeDocument/2006/relationships" r:embed="rId3"/>
        <a:stretch>
          <a:fillRect/>
        </a:stretch>
      </xdr:blipFill>
      <xdr:spPr>
        <a:xfrm>
          <a:off x="17754600" y="59655075"/>
          <a:ext cx="2914650" cy="1657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tjOSLXsMRjpYORaizwa1LPVCyEb69P1g/view?usp=drive_link" TargetMode="External"/><Relationship Id="rId2" Type="http://schemas.openxmlformats.org/officeDocument/2006/relationships/hyperlink" Target="https://drive.google.com/file/d/1OVoYmJYodt4BX3kir9dQm8UUYmcZFUDa/view?usp=drive_link" TargetMode="External"/><Relationship Id="rId1" Type="http://schemas.openxmlformats.org/officeDocument/2006/relationships/hyperlink" Target="https://drive.google.com/file/d/1mzptMy4ClUw6O8Ye4UjHWhb5ij5fuNB7/view?usp=drive_link" TargetMode="External"/><Relationship Id="rId6" Type="http://schemas.openxmlformats.org/officeDocument/2006/relationships/printerSettings" Target="../printerSettings/printerSettings1.bin"/><Relationship Id="rId5" Type="http://schemas.openxmlformats.org/officeDocument/2006/relationships/hyperlink" Target="https://drive.google.com/file/d/1TM09SDE-RPvO_RavhexpvW8REQ5D8H7I/view?usp=drive_link" TargetMode="External"/><Relationship Id="rId4" Type="http://schemas.openxmlformats.org/officeDocument/2006/relationships/hyperlink" Target="https://drive.google.com/file/d/1_urO_OChBrFHf54DA8JYxg-Fmszqw9Hy/view?usp=drive_link"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GgykLqrnv6tv3XSIr-VY3kBQaVuRcVz2/view?usp=sharing" TargetMode="External"/><Relationship Id="rId13" Type="http://schemas.openxmlformats.org/officeDocument/2006/relationships/hyperlink" Target="https://drive.google.com/file/d/121xUw8tXgCSsa3WdQVoQ4Fhiavo5nCv5/view?usp=drive_link" TargetMode="External"/><Relationship Id="rId18" Type="http://schemas.openxmlformats.org/officeDocument/2006/relationships/hyperlink" Target="https://drive.google.com/file/d/1RmTfPN_TOVYBieDXVKrh5Bq_HY7jQGWy/view?usp=drive_link" TargetMode="External"/><Relationship Id="rId26" Type="http://schemas.openxmlformats.org/officeDocument/2006/relationships/drawing" Target="../drawings/drawing1.xml"/><Relationship Id="rId3" Type="http://schemas.openxmlformats.org/officeDocument/2006/relationships/hyperlink" Target="https://drive.google.com/file/d/1fyWWRoZ1mhy7mbhrteW2OG8lT_FHTjpb/view?usp=sharing" TargetMode="External"/><Relationship Id="rId21" Type="http://schemas.openxmlformats.org/officeDocument/2006/relationships/hyperlink" Target="https://drive.google.com/file/d/1OVoYmJYodt4BX3kir9dQm8UUYmcZFUDa/view?usp=drive_link" TargetMode="External"/><Relationship Id="rId7" Type="http://schemas.openxmlformats.org/officeDocument/2006/relationships/hyperlink" Target="https://drive.google.com/file/d/1jxuKTIGQnOs6-74L5UYC3zyIoH8JnwW6/view?usp=sharing" TargetMode="External"/><Relationship Id="rId12" Type="http://schemas.openxmlformats.org/officeDocument/2006/relationships/hyperlink" Target="https://drive.google.com/file/d/1q8HNasV2OIs3Ulylqbw2NlXAf9juF7l5/view?usp=sharing" TargetMode="External"/><Relationship Id="rId17" Type="http://schemas.openxmlformats.org/officeDocument/2006/relationships/hyperlink" Target="https://drive.google.com/file/d/1-HowPzfuo598Ii5L0ymuZn0y-NZEcs_E/view?usp=drive_link" TargetMode="External"/><Relationship Id="rId25" Type="http://schemas.openxmlformats.org/officeDocument/2006/relationships/hyperlink" Target="https://drive.google.com/file/d/1cqNIPA9UDiq1wNOg11CCt_UDxzyJD0Ly/view?usp=sharing" TargetMode="External"/><Relationship Id="rId2" Type="http://schemas.openxmlformats.org/officeDocument/2006/relationships/hyperlink" Target="https://drive.google.com/file/d/1UwZgkg2cSkdHoKiw0MEQMMwj9WeZmi6Y/view?usp=sharing" TargetMode="External"/><Relationship Id="rId16" Type="http://schemas.openxmlformats.org/officeDocument/2006/relationships/hyperlink" Target="https://drive.google.com/file/d/1R34zOjtsnJAKZ28bNC9vd1BISGtJUR6h/view?usp=drive_link" TargetMode="External"/><Relationship Id="rId20" Type="http://schemas.openxmlformats.org/officeDocument/2006/relationships/hyperlink" Target="https://drive.google.com/file/d/1mzptMy4ClUw6O8Ye4UjHWhb5ij5fuNB7/view?usp=drive_link" TargetMode="External"/><Relationship Id="rId1" Type="http://schemas.openxmlformats.org/officeDocument/2006/relationships/hyperlink" Target="https://drive.google.com/file/d/1cqNIPA9UDiq1wNOg11CCt_UDxzyJD0Ly/view?usp=sharing" TargetMode="External"/><Relationship Id="rId6" Type="http://schemas.openxmlformats.org/officeDocument/2006/relationships/hyperlink" Target="https://drive.google.com/file/d/1IuIOLIT1lw_Qr-aMjGKaXDwWMVCSuw1e/view?usp=sharing" TargetMode="External"/><Relationship Id="rId11" Type="http://schemas.openxmlformats.org/officeDocument/2006/relationships/hyperlink" Target="https://drive.google.com/file/d/1tTb_ts7QKB37424V3yHM9JtKhau0Rdpx/view?usp=sharing" TargetMode="External"/><Relationship Id="rId24" Type="http://schemas.openxmlformats.org/officeDocument/2006/relationships/hyperlink" Target="https://drive.google.com/file/d/1TM09SDE-RPvO_RavhexpvW8REQ5D8H7I/view?usp=drive_link" TargetMode="External"/><Relationship Id="rId5" Type="http://schemas.openxmlformats.org/officeDocument/2006/relationships/hyperlink" Target="https://drive.google.com/file/d/1qV7XGRGG9AEnNYiXEDeewim-IOW2dKba/view?usp=sharing" TargetMode="External"/><Relationship Id="rId15" Type="http://schemas.openxmlformats.org/officeDocument/2006/relationships/hyperlink" Target="https://drive.google.com/file/d/1R34zOjtsnJAKZ28bNC9vd1BISGtJUR6h/view?usp=drive_link" TargetMode="External"/><Relationship Id="rId23" Type="http://schemas.openxmlformats.org/officeDocument/2006/relationships/hyperlink" Target="https://drive.google.com/file/d/1_urO_OChBrFHf54DA8JYxg-Fmszqw9Hy/view?usp=drive_link" TargetMode="External"/><Relationship Id="rId10" Type="http://schemas.openxmlformats.org/officeDocument/2006/relationships/hyperlink" Target="https://drive.google.com/file/d/195GH6BDXwnR1G_jfQi5ZhQUH4rs3LyVD/view?usp=sharing" TargetMode="External"/><Relationship Id="rId19" Type="http://schemas.openxmlformats.org/officeDocument/2006/relationships/hyperlink" Target="https://drive.google.com/file/d/1Ou-pom_Yy7z34OShUCBEwlSzSkSuIbzQ/view?usp=drive_link" TargetMode="External"/><Relationship Id="rId4" Type="http://schemas.openxmlformats.org/officeDocument/2006/relationships/hyperlink" Target="https://drive.google.com/file/d/1QWCD3Fsue7W3UmtWYtZ4s809Kel4WQxv/view?usp=sharing" TargetMode="External"/><Relationship Id="rId9" Type="http://schemas.openxmlformats.org/officeDocument/2006/relationships/hyperlink" Target="https://drive.google.com/file/d/1nbeZ0jkBYL_njbt891XlzbX4pGDJXB1P/view?usp=sharing" TargetMode="External"/><Relationship Id="rId14" Type="http://schemas.openxmlformats.org/officeDocument/2006/relationships/hyperlink" Target="https://drive.google.com/file/d/121xUw8tXgCSsa3WdQVoQ4Fhiavo5nCv5/view?usp=drive_link" TargetMode="External"/><Relationship Id="rId22" Type="http://schemas.openxmlformats.org/officeDocument/2006/relationships/hyperlink" Target="https://drive.google.com/file/d/1tjOSLXsMRjpYORaizwa1LPVCyEb69P1g/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D6EEE-0011-4A95-939D-9E339C0C7740}">
  <dimension ref="A1:B6"/>
  <sheetViews>
    <sheetView zoomScale="85" zoomScaleNormal="85" workbookViewId="0">
      <selection activeCell="E6" sqref="E6"/>
    </sheetView>
  </sheetViews>
  <sheetFormatPr defaultColWidth="8.7109375" defaultRowHeight="32.450000000000003" customHeight="1" x14ac:dyDescent="0.25"/>
  <cols>
    <col min="1" max="1" width="23.85546875" style="28" customWidth="1"/>
    <col min="2" max="2" width="30.5703125" style="29" customWidth="1"/>
    <col min="3" max="16384" width="8.7109375" style="28"/>
  </cols>
  <sheetData>
    <row r="1" spans="1:2" ht="32.450000000000003" customHeight="1" thickBot="1" x14ac:dyDescent="0.3">
      <c r="A1" s="30" t="s">
        <v>0</v>
      </c>
      <c r="B1" s="34" t="s">
        <v>1</v>
      </c>
    </row>
    <row r="2" spans="1:2" ht="32.450000000000003" customHeight="1" thickBot="1" x14ac:dyDescent="0.3">
      <c r="A2" s="31" t="s">
        <v>2</v>
      </c>
      <c r="B2" s="36" t="s">
        <v>3</v>
      </c>
    </row>
    <row r="3" spans="1:2" ht="32.450000000000003" customHeight="1" thickBot="1" x14ac:dyDescent="0.3">
      <c r="A3" s="31" t="s">
        <v>4</v>
      </c>
      <c r="B3" s="35" t="s">
        <v>5</v>
      </c>
    </row>
    <row r="4" spans="1:2" ht="32.450000000000003" customHeight="1" thickBot="1" x14ac:dyDescent="0.3">
      <c r="A4" s="31" t="s">
        <v>6</v>
      </c>
      <c r="B4" s="32"/>
    </row>
    <row r="5" spans="1:2" ht="32.450000000000003" customHeight="1" thickBot="1" x14ac:dyDescent="0.3">
      <c r="A5" s="33" t="s">
        <v>7</v>
      </c>
      <c r="B5" s="32"/>
    </row>
    <row r="6" spans="1:2" ht="32.450000000000003" customHeight="1" thickBot="1" x14ac:dyDescent="0.3">
      <c r="A6" s="33" t="s">
        <v>8</v>
      </c>
      <c r="B6" s="3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
  <sheetViews>
    <sheetView workbookViewId="0">
      <selection activeCell="B4" sqref="B4"/>
    </sheetView>
  </sheetViews>
  <sheetFormatPr defaultRowHeight="24.95" customHeight="1" x14ac:dyDescent="0.25"/>
  <cols>
    <col min="1" max="1" width="15.5703125" customWidth="1"/>
    <col min="2" max="2" width="151.85546875" customWidth="1"/>
    <col min="3" max="3" width="13.5703125" bestFit="1" customWidth="1"/>
    <col min="5" max="5" width="9" bestFit="1" customWidth="1"/>
  </cols>
  <sheetData>
    <row r="1" spans="1:15" s="9" customFormat="1" ht="29.45" customHeight="1" x14ac:dyDescent="0.25">
      <c r="A1" s="8" t="s">
        <v>10</v>
      </c>
      <c r="B1" s="8" t="s">
        <v>11</v>
      </c>
      <c r="C1" s="8" t="s">
        <v>12</v>
      </c>
      <c r="D1" s="8" t="s">
        <v>13</v>
      </c>
      <c r="E1" s="8" t="s">
        <v>14</v>
      </c>
      <c r="F1" s="8" t="s">
        <v>15</v>
      </c>
      <c r="G1" s="8" t="s">
        <v>16</v>
      </c>
    </row>
    <row r="2" spans="1:15" ht="43.5" customHeight="1" x14ac:dyDescent="0.25">
      <c r="A2" s="107" t="s">
        <v>17</v>
      </c>
      <c r="B2" s="107"/>
      <c r="C2" s="107"/>
      <c r="D2" s="107"/>
      <c r="E2" s="107"/>
      <c r="F2" s="107"/>
      <c r="G2" s="107"/>
      <c r="H2" s="107"/>
      <c r="I2" s="107"/>
      <c r="J2" s="107"/>
      <c r="K2" s="107"/>
      <c r="L2" s="107"/>
      <c r="M2" s="107"/>
      <c r="N2" s="107"/>
      <c r="O2" s="107"/>
    </row>
    <row r="3" spans="1:15" ht="34.5" customHeight="1" x14ac:dyDescent="0.25">
      <c r="A3" s="2" t="s">
        <v>18</v>
      </c>
      <c r="B3" s="2" t="s">
        <v>19</v>
      </c>
      <c r="C3" s="2" t="s">
        <v>17</v>
      </c>
      <c r="D3" s="2" t="s">
        <v>20</v>
      </c>
      <c r="E3" s="2" t="s">
        <v>21</v>
      </c>
    </row>
    <row r="4" spans="1:15" ht="43.5" customHeight="1" x14ac:dyDescent="0.25">
      <c r="A4" s="2" t="s">
        <v>22</v>
      </c>
      <c r="B4" s="2" t="s">
        <v>23</v>
      </c>
      <c r="C4" s="2" t="s">
        <v>17</v>
      </c>
      <c r="D4" s="2" t="s">
        <v>20</v>
      </c>
      <c r="E4" s="2" t="s">
        <v>21</v>
      </c>
    </row>
    <row r="5" spans="1:15" ht="47.25" customHeight="1" x14ac:dyDescent="0.25">
      <c r="A5" s="2" t="s">
        <v>24</v>
      </c>
      <c r="B5" s="2" t="s">
        <v>25</v>
      </c>
      <c r="C5" s="2" t="s">
        <v>17</v>
      </c>
      <c r="D5" s="2" t="s">
        <v>20</v>
      </c>
      <c r="E5" s="2" t="s">
        <v>21</v>
      </c>
    </row>
    <row r="6" spans="1:15" ht="39" customHeight="1" x14ac:dyDescent="0.25">
      <c r="A6" s="2" t="s">
        <v>26</v>
      </c>
      <c r="B6" s="2" t="s">
        <v>27</v>
      </c>
      <c r="C6" s="2" t="s">
        <v>17</v>
      </c>
      <c r="D6" s="2" t="s">
        <v>20</v>
      </c>
      <c r="E6" s="2" t="s">
        <v>28</v>
      </c>
    </row>
    <row r="7" spans="1:15" ht="45" customHeight="1" x14ac:dyDescent="0.25">
      <c r="A7" s="2" t="s">
        <v>29</v>
      </c>
      <c r="B7" s="2" t="s">
        <v>30</v>
      </c>
      <c r="C7" s="2" t="s">
        <v>17</v>
      </c>
      <c r="D7" s="2" t="s">
        <v>31</v>
      </c>
      <c r="E7" s="2" t="s">
        <v>28</v>
      </c>
    </row>
    <row r="8" spans="1:15" ht="44.25" customHeight="1" x14ac:dyDescent="0.25">
      <c r="A8" s="2" t="s">
        <v>32</v>
      </c>
      <c r="B8" s="2" t="s">
        <v>33</v>
      </c>
      <c r="C8" s="2" t="s">
        <v>17</v>
      </c>
      <c r="D8" s="2" t="s">
        <v>31</v>
      </c>
      <c r="E8" s="2" t="s">
        <v>28</v>
      </c>
    </row>
    <row r="9" spans="1:15" ht="54.75" customHeight="1" x14ac:dyDescent="0.25">
      <c r="A9" s="2" t="s">
        <v>34</v>
      </c>
      <c r="B9" s="2" t="s">
        <v>35</v>
      </c>
      <c r="C9" s="2" t="s">
        <v>17</v>
      </c>
      <c r="D9" s="2" t="s">
        <v>31</v>
      </c>
      <c r="E9" s="2" t="s">
        <v>28</v>
      </c>
    </row>
    <row r="10" spans="1:15" ht="37.5" customHeight="1" x14ac:dyDescent="0.25">
      <c r="A10" s="2" t="s">
        <v>36</v>
      </c>
      <c r="B10" s="2" t="s">
        <v>37</v>
      </c>
      <c r="C10" s="2" t="s">
        <v>17</v>
      </c>
      <c r="D10" s="2" t="s">
        <v>31</v>
      </c>
      <c r="E10" s="2" t="s">
        <v>28</v>
      </c>
    </row>
    <row r="11" spans="1:15" ht="39" customHeight="1" x14ac:dyDescent="0.25">
      <c r="A11" s="2" t="s">
        <v>38</v>
      </c>
      <c r="B11" s="2" t="s">
        <v>39</v>
      </c>
      <c r="C11" s="2" t="s">
        <v>17</v>
      </c>
      <c r="D11" s="2" t="s">
        <v>31</v>
      </c>
      <c r="E11" s="2" t="s">
        <v>28</v>
      </c>
    </row>
    <row r="12" spans="1:15" ht="43.5" customHeight="1" x14ac:dyDescent="0.25">
      <c r="A12" s="2" t="s">
        <v>40</v>
      </c>
      <c r="B12" s="2" t="s">
        <v>41</v>
      </c>
      <c r="C12" s="2" t="s">
        <v>17</v>
      </c>
      <c r="D12" s="2" t="s">
        <v>20</v>
      </c>
      <c r="E12" s="2" t="s">
        <v>42</v>
      </c>
    </row>
    <row r="13" spans="1:15" ht="43.5" customHeight="1" x14ac:dyDescent="0.25">
      <c r="A13" s="2" t="s">
        <v>43</v>
      </c>
      <c r="B13" s="2" t="s">
        <v>44</v>
      </c>
      <c r="C13" s="2" t="s">
        <v>17</v>
      </c>
      <c r="D13" s="2" t="s">
        <v>20</v>
      </c>
      <c r="E13" s="2" t="s">
        <v>42</v>
      </c>
    </row>
    <row r="14" spans="1:15" ht="51" customHeight="1" x14ac:dyDescent="0.25">
      <c r="A14" s="2" t="s">
        <v>45</v>
      </c>
      <c r="B14" s="2" t="s">
        <v>46</v>
      </c>
      <c r="C14" s="2" t="s">
        <v>17</v>
      </c>
      <c r="D14" s="2" t="s">
        <v>20</v>
      </c>
      <c r="E14" s="2" t="s">
        <v>42</v>
      </c>
    </row>
    <row r="15" spans="1:15" ht="36.75" customHeight="1" x14ac:dyDescent="0.25">
      <c r="A15" s="2" t="s">
        <v>47</v>
      </c>
      <c r="B15" s="2" t="s">
        <v>48</v>
      </c>
      <c r="C15" s="2" t="s">
        <v>17</v>
      </c>
      <c r="D15" s="2" t="s">
        <v>20</v>
      </c>
      <c r="E15" s="2" t="s">
        <v>42</v>
      </c>
    </row>
    <row r="16" spans="1:15" ht="33.75" customHeight="1" x14ac:dyDescent="0.25">
      <c r="A16" s="2" t="s">
        <v>49</v>
      </c>
      <c r="B16" s="2" t="s">
        <v>50</v>
      </c>
      <c r="C16" s="2" t="s">
        <v>17</v>
      </c>
      <c r="D16" s="2" t="s">
        <v>20</v>
      </c>
      <c r="E16" s="2" t="s">
        <v>51</v>
      </c>
    </row>
    <row r="17" spans="1:15" ht="37.5" customHeight="1" x14ac:dyDescent="0.25">
      <c r="A17" s="2" t="s">
        <v>52</v>
      </c>
      <c r="B17" s="2" t="s">
        <v>53</v>
      </c>
      <c r="C17" s="2" t="s">
        <v>17</v>
      </c>
      <c r="D17" s="2" t="s">
        <v>20</v>
      </c>
      <c r="E17" s="2" t="s">
        <v>51</v>
      </c>
    </row>
    <row r="18" spans="1:15" ht="48.75" customHeight="1" x14ac:dyDescent="0.25">
      <c r="A18" s="2" t="s">
        <v>54</v>
      </c>
      <c r="B18" s="2" t="s">
        <v>55</v>
      </c>
      <c r="C18" s="2" t="s">
        <v>17</v>
      </c>
      <c r="D18" s="2" t="s">
        <v>31</v>
      </c>
      <c r="E18" s="2" t="s">
        <v>51</v>
      </c>
    </row>
    <row r="19" spans="1:15" ht="24.95" customHeight="1" x14ac:dyDescent="0.25">
      <c r="A19" s="2" t="s">
        <v>56</v>
      </c>
      <c r="B19" s="2" t="s">
        <v>57</v>
      </c>
      <c r="C19" s="2" t="s">
        <v>17</v>
      </c>
      <c r="D19" s="2" t="s">
        <v>20</v>
      </c>
      <c r="E19" s="2" t="s">
        <v>51</v>
      </c>
    </row>
    <row r="20" spans="1:15" ht="24.95" customHeight="1" x14ac:dyDescent="0.25">
      <c r="A20" s="107" t="s">
        <v>58</v>
      </c>
      <c r="B20" s="107"/>
      <c r="C20" s="107"/>
      <c r="D20" s="107"/>
      <c r="E20" s="107"/>
      <c r="F20" s="107"/>
      <c r="G20" s="107"/>
      <c r="H20" s="107"/>
      <c r="I20" s="107"/>
      <c r="J20" s="107"/>
      <c r="K20" s="107"/>
      <c r="L20" s="107"/>
      <c r="M20" s="107"/>
      <c r="N20" s="107"/>
      <c r="O20" s="107"/>
    </row>
    <row r="21" spans="1:15" ht="24.95" customHeight="1" x14ac:dyDescent="0.25">
      <c r="A21" s="2" t="s">
        <v>59</v>
      </c>
      <c r="B21" s="2" t="s">
        <v>60</v>
      </c>
      <c r="C21" s="2" t="s">
        <v>61</v>
      </c>
      <c r="D21" s="2" t="s">
        <v>31</v>
      </c>
      <c r="E21" s="2" t="s">
        <v>62</v>
      </c>
    </row>
    <row r="22" spans="1:15" ht="24.95" customHeight="1" x14ac:dyDescent="0.25">
      <c r="A22" s="2" t="s">
        <v>63</v>
      </c>
      <c r="B22" s="2" t="s">
        <v>64</v>
      </c>
      <c r="C22" s="2" t="s">
        <v>65</v>
      </c>
      <c r="D22" s="2" t="s">
        <v>31</v>
      </c>
      <c r="E22" s="2" t="s">
        <v>28</v>
      </c>
    </row>
    <row r="23" spans="1:15" ht="24.95" customHeight="1" x14ac:dyDescent="0.25">
      <c r="A23" s="2" t="s">
        <v>66</v>
      </c>
      <c r="B23" s="2" t="s">
        <v>67</v>
      </c>
      <c r="C23" s="2" t="s">
        <v>65</v>
      </c>
      <c r="D23" s="2" t="s">
        <v>31</v>
      </c>
      <c r="E23" s="2" t="s">
        <v>68</v>
      </c>
    </row>
    <row r="24" spans="1:15" ht="24.95" customHeight="1" x14ac:dyDescent="0.25">
      <c r="A24" s="2" t="s">
        <v>69</v>
      </c>
      <c r="B24" s="2" t="s">
        <v>70</v>
      </c>
      <c r="C24" s="2" t="s">
        <v>71</v>
      </c>
      <c r="D24" s="2" t="s">
        <v>20</v>
      </c>
      <c r="E24" s="2" t="s">
        <v>68</v>
      </c>
    </row>
    <row r="25" spans="1:15" ht="24.95" customHeight="1" x14ac:dyDescent="0.25">
      <c r="A25" s="2" t="s">
        <v>72</v>
      </c>
      <c r="B25" s="2" t="s">
        <v>73</v>
      </c>
      <c r="C25" s="2" t="s">
        <v>74</v>
      </c>
      <c r="D25" s="2" t="s">
        <v>20</v>
      </c>
      <c r="E25" s="2" t="s">
        <v>21</v>
      </c>
    </row>
  </sheetData>
  <mergeCells count="2">
    <mergeCell ref="A20:O20"/>
    <mergeCell ref="A2:O2"/>
  </mergeCells>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topLeftCell="C1" workbookViewId="0">
      <selection activeCell="C10" sqref="C10"/>
    </sheetView>
  </sheetViews>
  <sheetFormatPr defaultRowHeight="25.5" customHeight="1" x14ac:dyDescent="0.25"/>
  <cols>
    <col min="2" max="2" width="8" bestFit="1" customWidth="1"/>
    <col min="3" max="3" width="97.5703125" bestFit="1" customWidth="1"/>
    <col min="4" max="4" width="60.5703125" bestFit="1" customWidth="1"/>
  </cols>
  <sheetData>
    <row r="1" spans="1:4" s="9" customFormat="1" ht="30" customHeight="1" x14ac:dyDescent="0.25">
      <c r="A1" s="8" t="s">
        <v>75</v>
      </c>
      <c r="B1" s="8" t="s">
        <v>10</v>
      </c>
      <c r="C1" s="8" t="s">
        <v>76</v>
      </c>
      <c r="D1" s="8" t="s">
        <v>77</v>
      </c>
    </row>
    <row r="2" spans="1:4" ht="25.5" customHeight="1" x14ac:dyDescent="0.25">
      <c r="A2" t="s">
        <v>78</v>
      </c>
      <c r="B2" s="12" t="s">
        <v>18</v>
      </c>
      <c r="C2" t="s">
        <v>79</v>
      </c>
      <c r="D2" t="s">
        <v>80</v>
      </c>
    </row>
    <row r="3" spans="1:4" ht="25.5" customHeight="1" x14ac:dyDescent="0.25">
      <c r="A3" t="s">
        <v>81</v>
      </c>
      <c r="B3" s="12" t="s">
        <v>22</v>
      </c>
      <c r="C3" t="s">
        <v>82</v>
      </c>
      <c r="D3" t="s">
        <v>83</v>
      </c>
    </row>
    <row r="4" spans="1:4" ht="25.5" customHeight="1" x14ac:dyDescent="0.25">
      <c r="A4" t="s">
        <v>84</v>
      </c>
      <c r="B4" s="12" t="s">
        <v>24</v>
      </c>
      <c r="C4" t="s">
        <v>85</v>
      </c>
      <c r="D4" t="s">
        <v>86</v>
      </c>
    </row>
    <row r="5" spans="1:4" s="25" customFormat="1" ht="15" x14ac:dyDescent="0.25">
      <c r="B5" s="26"/>
      <c r="D5" s="2"/>
    </row>
    <row r="6" spans="1:4" ht="25.5" customHeight="1" x14ac:dyDescent="0.25">
      <c r="A6" t="s">
        <v>87</v>
      </c>
      <c r="B6" s="12" t="s">
        <v>26</v>
      </c>
      <c r="C6" t="s">
        <v>88</v>
      </c>
      <c r="D6" t="s">
        <v>89</v>
      </c>
    </row>
    <row r="7" spans="1:4" ht="25.5" customHeight="1" x14ac:dyDescent="0.25">
      <c r="A7" t="s">
        <v>90</v>
      </c>
      <c r="B7" s="12" t="s">
        <v>29</v>
      </c>
      <c r="C7" t="s">
        <v>91</v>
      </c>
      <c r="D7" t="s">
        <v>92</v>
      </c>
    </row>
    <row r="8" spans="1:4" ht="25.5" customHeight="1" x14ac:dyDescent="0.25">
      <c r="A8" t="s">
        <v>93</v>
      </c>
      <c r="B8" s="12" t="s">
        <v>32</v>
      </c>
      <c r="C8" t="s">
        <v>94</v>
      </c>
      <c r="D8" t="s">
        <v>95</v>
      </c>
    </row>
    <row r="9" spans="1:4" ht="25.5" customHeight="1" x14ac:dyDescent="0.25">
      <c r="A9" t="s">
        <v>96</v>
      </c>
      <c r="B9" t="s">
        <v>34</v>
      </c>
      <c r="C9" t="s">
        <v>97</v>
      </c>
      <c r="D9" t="s">
        <v>98</v>
      </c>
    </row>
    <row r="10" spans="1:4" ht="25.5" customHeight="1" x14ac:dyDescent="0.25">
      <c r="A10" t="s">
        <v>99</v>
      </c>
      <c r="B10" t="s">
        <v>36</v>
      </c>
      <c r="C10" t="s">
        <v>100</v>
      </c>
      <c r="D10" t="s">
        <v>101</v>
      </c>
    </row>
    <row r="11" spans="1:4" ht="25.5" customHeight="1" x14ac:dyDescent="0.25">
      <c r="A11" t="s">
        <v>102</v>
      </c>
      <c r="B11" t="s">
        <v>38</v>
      </c>
      <c r="C11" t="s">
        <v>103</v>
      </c>
      <c r="D11" t="s">
        <v>104</v>
      </c>
    </row>
    <row r="13" spans="1:4" ht="25.5" customHeight="1" x14ac:dyDescent="0.25">
      <c r="A13" t="s">
        <v>105</v>
      </c>
      <c r="B13" t="s">
        <v>40</v>
      </c>
      <c r="C13" t="s">
        <v>106</v>
      </c>
      <c r="D13" t="s">
        <v>107</v>
      </c>
    </row>
    <row r="14" spans="1:4" ht="25.5" customHeight="1" x14ac:dyDescent="0.25">
      <c r="A14" t="s">
        <v>108</v>
      </c>
      <c r="B14" t="s">
        <v>43</v>
      </c>
      <c r="C14" t="s">
        <v>109</v>
      </c>
      <c r="D14" t="s">
        <v>110</v>
      </c>
    </row>
    <row r="15" spans="1:4" ht="25.5" customHeight="1" x14ac:dyDescent="0.25">
      <c r="A15" t="s">
        <v>111</v>
      </c>
      <c r="B15" t="s">
        <v>45</v>
      </c>
      <c r="C15" t="s">
        <v>112</v>
      </c>
      <c r="D15" t="s">
        <v>113</v>
      </c>
    </row>
    <row r="16" spans="1:4" ht="25.5" customHeight="1" x14ac:dyDescent="0.25">
      <c r="A16" t="s">
        <v>114</v>
      </c>
      <c r="B16" t="s">
        <v>47</v>
      </c>
      <c r="C16" t="s">
        <v>115</v>
      </c>
      <c r="D16" t="s">
        <v>116</v>
      </c>
    </row>
    <row r="18" spans="1:4" ht="25.5" customHeight="1" x14ac:dyDescent="0.25">
      <c r="A18" t="s">
        <v>117</v>
      </c>
      <c r="B18" t="s">
        <v>49</v>
      </c>
      <c r="C18" t="s">
        <v>118</v>
      </c>
      <c r="D18" t="s">
        <v>119</v>
      </c>
    </row>
    <row r="19" spans="1:4" ht="25.5" customHeight="1" x14ac:dyDescent="0.25">
      <c r="A19" t="s">
        <v>120</v>
      </c>
      <c r="B19" t="s">
        <v>52</v>
      </c>
      <c r="C19" t="s">
        <v>121</v>
      </c>
      <c r="D19" t="s">
        <v>122</v>
      </c>
    </row>
    <row r="20" spans="1:4" ht="25.5" customHeight="1" x14ac:dyDescent="0.25">
      <c r="A20" t="s">
        <v>123</v>
      </c>
      <c r="B20" t="s">
        <v>54</v>
      </c>
      <c r="C20" t="s">
        <v>124</v>
      </c>
      <c r="D20" t="s">
        <v>125</v>
      </c>
    </row>
    <row r="21" spans="1:4" ht="25.5" customHeight="1" x14ac:dyDescent="0.25">
      <c r="A21" t="s">
        <v>126</v>
      </c>
      <c r="B21" t="s">
        <v>56</v>
      </c>
      <c r="C21" t="s">
        <v>127</v>
      </c>
      <c r="D21" t="s">
        <v>128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86"/>
  <sheetViews>
    <sheetView topLeftCell="A130" zoomScale="54" zoomScaleNormal="51" workbookViewId="0">
      <selection activeCell="H154" sqref="H154"/>
    </sheetView>
  </sheetViews>
  <sheetFormatPr defaultColWidth="13.7109375" defaultRowHeight="130.15" customHeight="1" x14ac:dyDescent="0.25"/>
  <cols>
    <col min="1" max="1" width="21.7109375" customWidth="1"/>
    <col min="2" max="3" width="19.5703125" customWidth="1"/>
    <col min="4" max="4" width="18.7109375" customWidth="1"/>
    <col min="5" max="5" width="23.7109375" customWidth="1"/>
    <col min="6" max="6" width="19.85546875" customWidth="1"/>
    <col min="7" max="7" width="19.5703125" customWidth="1"/>
    <col min="8" max="8" width="18" customWidth="1"/>
    <col min="9" max="9" width="17.7109375" customWidth="1"/>
    <col min="10" max="10" width="18" customWidth="1"/>
    <col min="12" max="12" width="13.7109375" style="25"/>
  </cols>
  <sheetData>
    <row r="1" spans="1:15" ht="55.9" customHeight="1" x14ac:dyDescent="0.25">
      <c r="A1" s="4" t="s">
        <v>129</v>
      </c>
      <c r="B1" s="4" t="s">
        <v>130</v>
      </c>
      <c r="C1" s="4" t="s">
        <v>131</v>
      </c>
      <c r="D1" s="4" t="s">
        <v>132</v>
      </c>
      <c r="E1" s="4" t="s">
        <v>11</v>
      </c>
      <c r="F1" s="4" t="s">
        <v>133</v>
      </c>
      <c r="G1" s="4" t="s">
        <v>134</v>
      </c>
      <c r="H1" s="4" t="s">
        <v>135</v>
      </c>
      <c r="I1" s="4" t="s">
        <v>136</v>
      </c>
      <c r="J1" s="4" t="s">
        <v>137</v>
      </c>
      <c r="K1" s="4" t="s">
        <v>138</v>
      </c>
      <c r="L1" s="58" t="s">
        <v>15</v>
      </c>
      <c r="M1" s="4" t="s">
        <v>139</v>
      </c>
      <c r="N1" s="4" t="s">
        <v>140</v>
      </c>
      <c r="O1" s="4" t="s">
        <v>141</v>
      </c>
    </row>
    <row r="2" spans="1:15" ht="44.45" customHeight="1" x14ac:dyDescent="0.25">
      <c r="A2" s="107" t="s">
        <v>142</v>
      </c>
      <c r="B2" s="107"/>
      <c r="C2" s="107"/>
      <c r="D2" s="107"/>
      <c r="E2" s="107"/>
      <c r="F2" s="107"/>
      <c r="G2" s="107"/>
      <c r="H2" s="107"/>
      <c r="I2" s="107"/>
      <c r="J2" s="107"/>
      <c r="K2" s="107"/>
      <c r="L2" s="107"/>
      <c r="M2" s="107"/>
      <c r="N2" s="107"/>
      <c r="O2" s="107"/>
    </row>
    <row r="3" spans="1:15" s="25" customFormat="1" ht="120" customHeight="1" x14ac:dyDescent="0.25">
      <c r="A3" s="77" t="str">
        <f>"TC_Std_" &amp; TEXT(ROW(A1), "000")</f>
        <v>TC_Std_001</v>
      </c>
      <c r="B3" s="78" t="s">
        <v>21</v>
      </c>
      <c r="C3" s="3"/>
      <c r="D3" s="47" t="s">
        <v>143</v>
      </c>
      <c r="E3" t="s">
        <v>144</v>
      </c>
      <c r="F3" s="78" t="s">
        <v>145</v>
      </c>
      <c r="G3" s="2" t="s">
        <v>146</v>
      </c>
      <c r="H3" s="2" t="s">
        <v>147</v>
      </c>
      <c r="I3" s="2" t="s">
        <v>148</v>
      </c>
      <c r="J3" s="2"/>
      <c r="K3" s="2" t="s">
        <v>148</v>
      </c>
      <c r="L3" s="2" t="s">
        <v>149</v>
      </c>
      <c r="M3" s="63" t="s">
        <v>150</v>
      </c>
      <c r="N3" s="63" t="s">
        <v>151</v>
      </c>
      <c r="O3" s="66" t="s">
        <v>20</v>
      </c>
    </row>
    <row r="4" spans="1:15" s="55" customFormat="1" ht="120" customHeight="1" x14ac:dyDescent="0.25">
      <c r="A4" s="77" t="str">
        <f t="shared" ref="A4:A33" si="0">"TC_Std_" &amp; TEXT(ROW(A2), "000")</f>
        <v>TC_Std_002</v>
      </c>
      <c r="B4" s="78" t="s">
        <v>152</v>
      </c>
      <c r="C4" s="3"/>
      <c r="D4" s="47" t="s">
        <v>153</v>
      </c>
      <c r="E4" s="2" t="s">
        <v>154</v>
      </c>
      <c r="F4" s="78" t="s">
        <v>145</v>
      </c>
      <c r="G4" s="48" t="s">
        <v>155</v>
      </c>
      <c r="H4" s="2"/>
      <c r="I4" s="2" t="s">
        <v>156</v>
      </c>
      <c r="J4" s="2"/>
      <c r="K4" s="2" t="s">
        <v>156</v>
      </c>
      <c r="L4" s="2" t="s">
        <v>149</v>
      </c>
      <c r="M4" s="63" t="s">
        <v>150</v>
      </c>
      <c r="N4" s="63" t="s">
        <v>151</v>
      </c>
      <c r="O4" s="66" t="s">
        <v>20</v>
      </c>
    </row>
    <row r="5" spans="1:15" s="55" customFormat="1" ht="120" customHeight="1" x14ac:dyDescent="0.25">
      <c r="A5" s="77" t="str">
        <f t="shared" si="0"/>
        <v>TC_Std_003</v>
      </c>
      <c r="B5" s="1" t="s">
        <v>152</v>
      </c>
      <c r="C5" s="3"/>
      <c r="D5" s="2" t="s">
        <v>157</v>
      </c>
      <c r="E5" s="2" t="s">
        <v>158</v>
      </c>
      <c r="F5" s="1" t="s">
        <v>159</v>
      </c>
      <c r="G5" s="2" t="s">
        <v>160</v>
      </c>
      <c r="H5" s="2"/>
      <c r="I5" s="2" t="s">
        <v>161</v>
      </c>
      <c r="J5" s="2"/>
      <c r="K5" s="2" t="s">
        <v>161</v>
      </c>
      <c r="L5" s="2" t="s">
        <v>149</v>
      </c>
      <c r="M5" s="63" t="s">
        <v>150</v>
      </c>
      <c r="N5" s="63" t="s">
        <v>151</v>
      </c>
      <c r="O5" s="66" t="s">
        <v>20</v>
      </c>
    </row>
    <row r="6" spans="1:15" s="55" customFormat="1" ht="120" customHeight="1" x14ac:dyDescent="0.25">
      <c r="A6" s="77" t="str">
        <f t="shared" si="0"/>
        <v>TC_Std_004</v>
      </c>
      <c r="B6" s="1" t="s">
        <v>152</v>
      </c>
      <c r="C6" s="16"/>
      <c r="D6" s="9" t="s">
        <v>162</v>
      </c>
      <c r="E6" s="15" t="s">
        <v>163</v>
      </c>
      <c r="F6" s="6" t="s">
        <v>159</v>
      </c>
      <c r="G6" s="15" t="s">
        <v>164</v>
      </c>
      <c r="H6" s="9"/>
      <c r="I6" s="15" t="s">
        <v>165</v>
      </c>
      <c r="J6" s="9"/>
      <c r="K6" s="15" t="s">
        <v>165</v>
      </c>
      <c r="L6" s="2" t="s">
        <v>149</v>
      </c>
      <c r="M6" s="63" t="s">
        <v>150</v>
      </c>
      <c r="N6" s="63" t="s">
        <v>151</v>
      </c>
      <c r="O6" s="66" t="s">
        <v>20</v>
      </c>
    </row>
    <row r="7" spans="1:15" s="55" customFormat="1" ht="120" customHeight="1" x14ac:dyDescent="0.25">
      <c r="A7" s="77" t="str">
        <f t="shared" si="0"/>
        <v>TC_Std_005</v>
      </c>
      <c r="B7" s="1" t="s">
        <v>152</v>
      </c>
      <c r="C7" s="16"/>
      <c r="D7" s="9" t="s">
        <v>166</v>
      </c>
      <c r="E7" s="15" t="s">
        <v>167</v>
      </c>
      <c r="F7" s="6" t="s">
        <v>159</v>
      </c>
      <c r="G7" s="15" t="s">
        <v>168</v>
      </c>
      <c r="H7" s="9"/>
      <c r="I7" s="15" t="s">
        <v>169</v>
      </c>
      <c r="J7" s="9"/>
      <c r="K7" s="15" t="s">
        <v>169</v>
      </c>
      <c r="L7" s="2" t="s">
        <v>149</v>
      </c>
      <c r="M7" s="63" t="s">
        <v>150</v>
      </c>
      <c r="N7" s="63" t="s">
        <v>151</v>
      </c>
      <c r="O7" s="66" t="s">
        <v>20</v>
      </c>
    </row>
    <row r="8" spans="1:15" s="55" customFormat="1" ht="120" customHeight="1" x14ac:dyDescent="0.25">
      <c r="A8" s="77" t="str">
        <f t="shared" si="0"/>
        <v>TC_Std_006</v>
      </c>
      <c r="B8" s="1" t="s">
        <v>152</v>
      </c>
      <c r="C8" s="16"/>
      <c r="D8" s="9" t="s">
        <v>170</v>
      </c>
      <c r="E8" s="15" t="s">
        <v>171</v>
      </c>
      <c r="F8" s="6" t="s">
        <v>159</v>
      </c>
      <c r="G8" s="15" t="s">
        <v>172</v>
      </c>
      <c r="H8" s="9"/>
      <c r="I8" s="15" t="s">
        <v>173</v>
      </c>
      <c r="J8" s="9"/>
      <c r="K8" s="15" t="s">
        <v>173</v>
      </c>
      <c r="L8" s="2" t="s">
        <v>149</v>
      </c>
      <c r="M8" s="63" t="s">
        <v>150</v>
      </c>
      <c r="N8" s="63" t="s">
        <v>151</v>
      </c>
      <c r="O8" s="66" t="s">
        <v>20</v>
      </c>
    </row>
    <row r="9" spans="1:15" s="55" customFormat="1" ht="120" customHeight="1" x14ac:dyDescent="0.25">
      <c r="A9" s="77" t="str">
        <f t="shared" si="0"/>
        <v>TC_Std_007</v>
      </c>
      <c r="B9" s="1" t="s">
        <v>174</v>
      </c>
      <c r="C9" s="16"/>
      <c r="D9" s="9" t="s">
        <v>175</v>
      </c>
      <c r="E9" s="15" t="s">
        <v>176</v>
      </c>
      <c r="F9" s="6" t="s">
        <v>159</v>
      </c>
      <c r="G9" s="15" t="s">
        <v>177</v>
      </c>
      <c r="H9" s="9"/>
      <c r="I9" s="15" t="s">
        <v>178</v>
      </c>
      <c r="J9" s="9"/>
      <c r="K9" s="15" t="s">
        <v>178</v>
      </c>
      <c r="L9" s="2" t="s">
        <v>149</v>
      </c>
      <c r="M9" s="63" t="s">
        <v>150</v>
      </c>
      <c r="N9" s="63" t="s">
        <v>151</v>
      </c>
      <c r="O9" s="66" t="s">
        <v>20</v>
      </c>
    </row>
    <row r="10" spans="1:15" s="55" customFormat="1" ht="120" customHeight="1" x14ac:dyDescent="0.25">
      <c r="A10" s="77" t="str">
        <f t="shared" si="0"/>
        <v>TC_Std_008</v>
      </c>
      <c r="B10" s="1" t="s">
        <v>174</v>
      </c>
      <c r="C10" s="16"/>
      <c r="D10" s="9" t="s">
        <v>179</v>
      </c>
      <c r="E10" s="15" t="s">
        <v>180</v>
      </c>
      <c r="F10" s="6" t="s">
        <v>159</v>
      </c>
      <c r="G10" s="15" t="s">
        <v>181</v>
      </c>
      <c r="H10" s="9"/>
      <c r="I10" s="15" t="s">
        <v>182</v>
      </c>
      <c r="J10" s="9"/>
      <c r="K10" s="15" t="s">
        <v>182</v>
      </c>
      <c r="L10" s="2" t="s">
        <v>149</v>
      </c>
      <c r="M10" s="63" t="s">
        <v>150</v>
      </c>
      <c r="N10" s="63" t="s">
        <v>151</v>
      </c>
      <c r="O10" s="66" t="s">
        <v>20</v>
      </c>
    </row>
    <row r="11" spans="1:15" s="55" customFormat="1" ht="120" customHeight="1" x14ac:dyDescent="0.25">
      <c r="A11" s="77" t="str">
        <f t="shared" si="0"/>
        <v>TC_Std_009</v>
      </c>
      <c r="B11" s="1" t="s">
        <v>174</v>
      </c>
      <c r="C11" s="16"/>
      <c r="D11" s="9" t="s">
        <v>183</v>
      </c>
      <c r="E11" s="15" t="s">
        <v>184</v>
      </c>
      <c r="F11" s="6" t="s">
        <v>185</v>
      </c>
      <c r="G11" s="15" t="s">
        <v>186</v>
      </c>
      <c r="H11" s="9"/>
      <c r="I11" s="15" t="s">
        <v>187</v>
      </c>
      <c r="J11" s="9"/>
      <c r="K11" s="15" t="s">
        <v>187</v>
      </c>
      <c r="L11" s="2" t="s">
        <v>149</v>
      </c>
      <c r="M11" s="63" t="s">
        <v>150</v>
      </c>
      <c r="N11" s="63" t="s">
        <v>151</v>
      </c>
      <c r="O11" s="66" t="s">
        <v>20</v>
      </c>
    </row>
    <row r="12" spans="1:15" s="55" customFormat="1" ht="120" customHeight="1" x14ac:dyDescent="0.25">
      <c r="A12" s="77" t="str">
        <f t="shared" si="0"/>
        <v>TC_Std_010</v>
      </c>
      <c r="B12" s="1" t="s">
        <v>188</v>
      </c>
      <c r="C12" s="16"/>
      <c r="D12" s="9" t="s">
        <v>189</v>
      </c>
      <c r="E12" s="15" t="s">
        <v>184</v>
      </c>
      <c r="F12" s="6" t="s">
        <v>159</v>
      </c>
      <c r="G12" s="15" t="s">
        <v>190</v>
      </c>
      <c r="H12" s="9"/>
      <c r="I12" s="15" t="s">
        <v>191</v>
      </c>
      <c r="J12" s="9"/>
      <c r="K12" s="15" t="s">
        <v>191</v>
      </c>
      <c r="L12" s="2" t="s">
        <v>149</v>
      </c>
      <c r="M12" s="63" t="s">
        <v>150</v>
      </c>
      <c r="N12" s="63" t="s">
        <v>151</v>
      </c>
      <c r="O12" s="66" t="s">
        <v>20</v>
      </c>
    </row>
    <row r="13" spans="1:15" s="55" customFormat="1" ht="120" customHeight="1" x14ac:dyDescent="0.25">
      <c r="A13" s="77" t="str">
        <f t="shared" si="0"/>
        <v>TC_Std_011</v>
      </c>
      <c r="B13" s="1" t="s">
        <v>188</v>
      </c>
      <c r="C13" s="16"/>
      <c r="D13" s="9" t="s">
        <v>192</v>
      </c>
      <c r="E13" s="15" t="s">
        <v>193</v>
      </c>
      <c r="F13" s="9" t="s">
        <v>194</v>
      </c>
      <c r="G13" s="15" t="s">
        <v>195</v>
      </c>
      <c r="H13" s="9"/>
      <c r="I13" s="15" t="s">
        <v>196</v>
      </c>
      <c r="J13" s="9"/>
      <c r="K13" s="15" t="s">
        <v>196</v>
      </c>
      <c r="L13" s="2" t="s">
        <v>149</v>
      </c>
      <c r="M13" s="63" t="s">
        <v>150</v>
      </c>
      <c r="N13" s="63" t="s">
        <v>151</v>
      </c>
      <c r="O13" s="66" t="s">
        <v>20</v>
      </c>
    </row>
    <row r="14" spans="1:15" s="55" customFormat="1" ht="120" customHeight="1" x14ac:dyDescent="0.25">
      <c r="A14" s="77" t="str">
        <f t="shared" si="0"/>
        <v>TC_Std_012</v>
      </c>
      <c r="B14" s="1" t="s">
        <v>188</v>
      </c>
      <c r="C14" s="16"/>
      <c r="D14" s="9" t="s">
        <v>197</v>
      </c>
      <c r="E14" s="15" t="s">
        <v>198</v>
      </c>
      <c r="F14" s="9" t="s">
        <v>194</v>
      </c>
      <c r="G14" s="15" t="s">
        <v>199</v>
      </c>
      <c r="H14" s="9"/>
      <c r="I14" s="15" t="s">
        <v>200</v>
      </c>
      <c r="J14" s="9"/>
      <c r="K14" s="15" t="s">
        <v>200</v>
      </c>
      <c r="L14" s="2" t="s">
        <v>149</v>
      </c>
      <c r="M14" s="63" t="s">
        <v>150</v>
      </c>
      <c r="N14" s="63" t="s">
        <v>151</v>
      </c>
      <c r="O14" s="63" t="s">
        <v>31</v>
      </c>
    </row>
    <row r="15" spans="1:15" s="55" customFormat="1" ht="120" customHeight="1" x14ac:dyDescent="0.25">
      <c r="A15" s="77" t="str">
        <f t="shared" si="0"/>
        <v>TC_Std_013</v>
      </c>
      <c r="B15" s="1" t="s">
        <v>201</v>
      </c>
      <c r="C15" s="16"/>
      <c r="D15" s="9" t="s">
        <v>202</v>
      </c>
      <c r="E15" s="15" t="s">
        <v>203</v>
      </c>
      <c r="F15" s="9" t="s">
        <v>204</v>
      </c>
      <c r="G15" s="15" t="s">
        <v>205</v>
      </c>
      <c r="H15" s="9"/>
      <c r="I15" s="15" t="s">
        <v>206</v>
      </c>
      <c r="J15" s="9"/>
      <c r="K15" s="15" t="s">
        <v>206</v>
      </c>
      <c r="L15" s="2" t="s">
        <v>149</v>
      </c>
      <c r="M15" s="63" t="s">
        <v>150</v>
      </c>
      <c r="N15" s="63" t="s">
        <v>151</v>
      </c>
      <c r="O15" s="66" t="s">
        <v>20</v>
      </c>
    </row>
    <row r="16" spans="1:15" s="55" customFormat="1" ht="120" customHeight="1" x14ac:dyDescent="0.25">
      <c r="A16" s="77" t="str">
        <f t="shared" si="0"/>
        <v>TC_Std_014</v>
      </c>
      <c r="B16" s="1" t="s">
        <v>201</v>
      </c>
      <c r="C16" s="16"/>
      <c r="D16" s="9" t="s">
        <v>202</v>
      </c>
      <c r="E16" s="15" t="s">
        <v>203</v>
      </c>
      <c r="F16" s="9" t="s">
        <v>204</v>
      </c>
      <c r="G16" s="15" t="s">
        <v>205</v>
      </c>
      <c r="H16" s="9"/>
      <c r="I16" s="15" t="s">
        <v>206</v>
      </c>
      <c r="J16" s="9"/>
      <c r="K16" s="15" t="s">
        <v>206</v>
      </c>
      <c r="L16" s="2" t="s">
        <v>149</v>
      </c>
      <c r="M16" s="63" t="s">
        <v>150</v>
      </c>
      <c r="N16" s="63" t="s">
        <v>151</v>
      </c>
      <c r="O16" s="66" t="s">
        <v>20</v>
      </c>
    </row>
    <row r="17" spans="1:15" s="55" customFormat="1" ht="120" customHeight="1" x14ac:dyDescent="0.25">
      <c r="A17" s="77" t="str">
        <f t="shared" si="0"/>
        <v>TC_Std_015</v>
      </c>
      <c r="B17" s="1" t="s">
        <v>201</v>
      </c>
      <c r="C17" s="16"/>
      <c r="D17" s="9" t="s">
        <v>207</v>
      </c>
      <c r="E17" s="15" t="s">
        <v>207</v>
      </c>
      <c r="F17" s="9" t="s">
        <v>208</v>
      </c>
      <c r="G17" s="15" t="s">
        <v>209</v>
      </c>
      <c r="H17" s="9"/>
      <c r="I17" s="15" t="s">
        <v>210</v>
      </c>
      <c r="J17" s="9"/>
      <c r="K17" s="15" t="s">
        <v>210</v>
      </c>
      <c r="L17" s="2" t="s">
        <v>149</v>
      </c>
      <c r="M17" s="63" t="s">
        <v>150</v>
      </c>
      <c r="N17" s="63" t="s">
        <v>151</v>
      </c>
      <c r="O17" s="66" t="s">
        <v>20</v>
      </c>
    </row>
    <row r="18" spans="1:15" ht="120" customHeight="1" x14ac:dyDescent="0.25">
      <c r="A18" s="77" t="str">
        <f t="shared" si="0"/>
        <v>TC_Std_016</v>
      </c>
      <c r="B18" s="1" t="s">
        <v>201</v>
      </c>
      <c r="C18" s="16"/>
      <c r="D18" s="9" t="s">
        <v>211</v>
      </c>
      <c r="E18" s="15" t="s">
        <v>212</v>
      </c>
      <c r="F18" s="9" t="s">
        <v>213</v>
      </c>
      <c r="G18" s="15" t="s">
        <v>214</v>
      </c>
      <c r="H18" s="9"/>
      <c r="I18" s="15" t="s">
        <v>215</v>
      </c>
      <c r="J18" s="9"/>
      <c r="K18" s="15" t="s">
        <v>215</v>
      </c>
      <c r="L18" s="2" t="s">
        <v>149</v>
      </c>
      <c r="M18" s="63" t="s">
        <v>150</v>
      </c>
      <c r="N18" s="63" t="s">
        <v>151</v>
      </c>
      <c r="O18" s="66" t="s">
        <v>20</v>
      </c>
    </row>
    <row r="19" spans="1:15" ht="120" customHeight="1" x14ac:dyDescent="0.25">
      <c r="A19" s="77" t="str">
        <f t="shared" si="0"/>
        <v>TC_Std_017</v>
      </c>
      <c r="B19" s="1" t="s">
        <v>216</v>
      </c>
      <c r="C19" s="16"/>
      <c r="D19" s="9" t="s">
        <v>217</v>
      </c>
      <c r="E19" s="15" t="s">
        <v>218</v>
      </c>
      <c r="F19" s="9" t="s">
        <v>204</v>
      </c>
      <c r="G19" s="15" t="s">
        <v>219</v>
      </c>
      <c r="H19" s="9"/>
      <c r="I19" s="15" t="s">
        <v>220</v>
      </c>
      <c r="J19" s="9"/>
      <c r="K19" s="15" t="s">
        <v>220</v>
      </c>
      <c r="L19" s="2" t="s">
        <v>149</v>
      </c>
      <c r="M19" s="63" t="s">
        <v>150</v>
      </c>
      <c r="N19" s="63" t="s">
        <v>151</v>
      </c>
      <c r="O19" s="66" t="s">
        <v>20</v>
      </c>
    </row>
    <row r="20" spans="1:15" ht="120" customHeight="1" x14ac:dyDescent="0.25">
      <c r="A20" s="77" t="str">
        <f t="shared" si="0"/>
        <v>TC_Std_018</v>
      </c>
      <c r="B20" s="1" t="s">
        <v>216</v>
      </c>
      <c r="C20" s="16"/>
      <c r="D20" s="9" t="s">
        <v>221</v>
      </c>
      <c r="E20" s="15" t="s">
        <v>218</v>
      </c>
      <c r="F20" s="9" t="s">
        <v>222</v>
      </c>
      <c r="G20" s="15" t="s">
        <v>223</v>
      </c>
      <c r="H20" s="15" t="s">
        <v>224</v>
      </c>
      <c r="I20" s="15" t="s">
        <v>225</v>
      </c>
      <c r="J20" s="9"/>
      <c r="K20" s="15" t="s">
        <v>226</v>
      </c>
      <c r="L20" s="2" t="s">
        <v>149</v>
      </c>
      <c r="M20" s="63" t="s">
        <v>150</v>
      </c>
      <c r="N20" s="63" t="s">
        <v>151</v>
      </c>
      <c r="O20" s="66" t="s">
        <v>20</v>
      </c>
    </row>
    <row r="21" spans="1:15" ht="120" customHeight="1" x14ac:dyDescent="0.25">
      <c r="A21" s="77" t="str">
        <f t="shared" si="0"/>
        <v>TC_Std_019</v>
      </c>
      <c r="B21" s="1" t="s">
        <v>216</v>
      </c>
      <c r="C21" s="16"/>
      <c r="D21" s="9" t="s">
        <v>227</v>
      </c>
      <c r="E21" s="15" t="s">
        <v>218</v>
      </c>
      <c r="F21" s="9" t="s">
        <v>228</v>
      </c>
      <c r="G21" s="15" t="s">
        <v>229</v>
      </c>
      <c r="H21" s="15" t="s">
        <v>230</v>
      </c>
      <c r="I21" s="15" t="s">
        <v>231</v>
      </c>
      <c r="J21" s="9"/>
      <c r="K21" s="15" t="s">
        <v>231</v>
      </c>
      <c r="L21" s="2" t="s">
        <v>149</v>
      </c>
      <c r="M21" s="63" t="s">
        <v>150</v>
      </c>
      <c r="N21" s="63" t="s">
        <v>151</v>
      </c>
      <c r="O21" s="66" t="s">
        <v>20</v>
      </c>
    </row>
    <row r="22" spans="1:15" ht="120" customHeight="1" x14ac:dyDescent="0.25">
      <c r="A22" s="77" t="str">
        <f t="shared" si="0"/>
        <v>TC_Std_020</v>
      </c>
      <c r="B22" s="1" t="s">
        <v>216</v>
      </c>
      <c r="C22" s="16"/>
      <c r="D22" s="9" t="s">
        <v>232</v>
      </c>
      <c r="E22" s="15" t="s">
        <v>233</v>
      </c>
      <c r="F22" s="9" t="s">
        <v>228</v>
      </c>
      <c r="G22" s="15" t="s">
        <v>234</v>
      </c>
      <c r="H22" s="15" t="s">
        <v>235</v>
      </c>
      <c r="I22" s="15" t="s">
        <v>236</v>
      </c>
      <c r="J22" s="9"/>
      <c r="K22" s="15" t="s">
        <v>237</v>
      </c>
      <c r="L22" s="2" t="s">
        <v>238</v>
      </c>
      <c r="M22" s="63" t="s">
        <v>150</v>
      </c>
      <c r="N22" s="63" t="s">
        <v>151</v>
      </c>
      <c r="O22" s="66" t="s">
        <v>20</v>
      </c>
    </row>
    <row r="23" spans="1:15" ht="120" customHeight="1" x14ac:dyDescent="0.25">
      <c r="A23" s="77" t="str">
        <f t="shared" si="0"/>
        <v>TC_Std_021</v>
      </c>
      <c r="B23" s="1" t="s">
        <v>216</v>
      </c>
      <c r="C23" s="16"/>
      <c r="D23" s="9" t="s">
        <v>239</v>
      </c>
      <c r="E23" s="15" t="s">
        <v>240</v>
      </c>
      <c r="F23" s="9" t="s">
        <v>228</v>
      </c>
      <c r="G23" s="15" t="s">
        <v>241</v>
      </c>
      <c r="H23" s="15" t="s">
        <v>242</v>
      </c>
      <c r="I23" s="15" t="s">
        <v>236</v>
      </c>
      <c r="J23" s="9"/>
      <c r="K23" s="15" t="s">
        <v>237</v>
      </c>
      <c r="L23" s="2" t="s">
        <v>238</v>
      </c>
      <c r="M23" s="63" t="s">
        <v>150</v>
      </c>
      <c r="N23" s="63" t="s">
        <v>151</v>
      </c>
      <c r="O23" s="66" t="s">
        <v>20</v>
      </c>
    </row>
    <row r="24" spans="1:15" ht="120" customHeight="1" x14ac:dyDescent="0.25">
      <c r="A24" s="77" t="str">
        <f t="shared" si="0"/>
        <v>TC_Std_022</v>
      </c>
      <c r="B24" s="1" t="s">
        <v>216</v>
      </c>
      <c r="C24" s="16"/>
      <c r="D24" s="9" t="s">
        <v>243</v>
      </c>
      <c r="E24" s="15" t="s">
        <v>218</v>
      </c>
      <c r="F24" s="9" t="s">
        <v>228</v>
      </c>
      <c r="G24" s="15" t="s">
        <v>244</v>
      </c>
      <c r="H24" s="15" t="s">
        <v>245</v>
      </c>
      <c r="I24" s="15" t="s">
        <v>246</v>
      </c>
      <c r="J24" s="9"/>
      <c r="K24" s="15" t="s">
        <v>247</v>
      </c>
      <c r="L24" s="2" t="s">
        <v>149</v>
      </c>
      <c r="M24" s="63" t="s">
        <v>150</v>
      </c>
      <c r="N24" s="63" t="s">
        <v>151</v>
      </c>
      <c r="O24" s="66" t="s">
        <v>20</v>
      </c>
    </row>
    <row r="25" spans="1:15" ht="120" customHeight="1" x14ac:dyDescent="0.25">
      <c r="A25" s="77" t="str">
        <f t="shared" si="0"/>
        <v>TC_Std_023</v>
      </c>
      <c r="B25" s="1" t="s">
        <v>216</v>
      </c>
      <c r="C25" s="16"/>
      <c r="D25" s="9" t="s">
        <v>248</v>
      </c>
      <c r="E25" s="15" t="s">
        <v>249</v>
      </c>
      <c r="F25" s="9" t="s">
        <v>228</v>
      </c>
      <c r="G25" s="15" t="s">
        <v>250</v>
      </c>
      <c r="H25" s="15" t="s">
        <v>251</v>
      </c>
      <c r="I25" s="15" t="s">
        <v>246</v>
      </c>
      <c r="J25" s="9"/>
      <c r="K25" s="15" t="s">
        <v>252</v>
      </c>
      <c r="L25" s="2" t="s">
        <v>238</v>
      </c>
      <c r="M25" s="63" t="s">
        <v>150</v>
      </c>
      <c r="N25" s="63" t="s">
        <v>151</v>
      </c>
      <c r="O25" s="66" t="s">
        <v>20</v>
      </c>
    </row>
    <row r="26" spans="1:15" ht="120" customHeight="1" x14ac:dyDescent="0.25">
      <c r="A26" s="77" t="str">
        <f t="shared" si="0"/>
        <v>TC_Std_024</v>
      </c>
      <c r="B26" s="1" t="s">
        <v>216</v>
      </c>
      <c r="C26" s="16"/>
      <c r="D26" s="9" t="s">
        <v>253</v>
      </c>
      <c r="E26" s="15" t="s">
        <v>254</v>
      </c>
      <c r="F26" s="9" t="s">
        <v>228</v>
      </c>
      <c r="G26" s="15" t="s">
        <v>255</v>
      </c>
      <c r="H26" s="15" t="s">
        <v>256</v>
      </c>
      <c r="I26" s="15" t="s">
        <v>257</v>
      </c>
      <c r="J26" s="9"/>
      <c r="K26" s="15" t="s">
        <v>237</v>
      </c>
      <c r="L26" s="2" t="s">
        <v>238</v>
      </c>
      <c r="M26" s="63" t="s">
        <v>150</v>
      </c>
      <c r="N26" s="63" t="s">
        <v>151</v>
      </c>
      <c r="O26" s="66" t="s">
        <v>20</v>
      </c>
    </row>
    <row r="27" spans="1:15" ht="120" customHeight="1" x14ac:dyDescent="0.25">
      <c r="A27" s="77" t="str">
        <f t="shared" si="0"/>
        <v>TC_Std_025</v>
      </c>
      <c r="B27" s="1" t="s">
        <v>216</v>
      </c>
      <c r="C27" s="16"/>
      <c r="D27" s="9" t="s">
        <v>248</v>
      </c>
      <c r="E27" s="15" t="s">
        <v>249</v>
      </c>
      <c r="F27" s="9" t="s">
        <v>228</v>
      </c>
      <c r="G27" s="15" t="s">
        <v>250</v>
      </c>
      <c r="H27" s="15" t="s">
        <v>251</v>
      </c>
      <c r="I27" s="15" t="s">
        <v>246</v>
      </c>
      <c r="J27" s="9"/>
      <c r="K27" s="15" t="s">
        <v>252</v>
      </c>
      <c r="L27" s="2" t="s">
        <v>238</v>
      </c>
      <c r="M27" s="63" t="s">
        <v>150</v>
      </c>
      <c r="N27" s="63" t="s">
        <v>151</v>
      </c>
      <c r="O27" s="66" t="s">
        <v>20</v>
      </c>
    </row>
    <row r="28" spans="1:15" ht="120" customHeight="1" x14ac:dyDescent="0.25">
      <c r="A28" s="77" t="str">
        <f t="shared" si="0"/>
        <v>TC_Std_026</v>
      </c>
      <c r="B28" s="1" t="s">
        <v>216</v>
      </c>
      <c r="D28" s="9" t="s">
        <v>258</v>
      </c>
      <c r="F28" s="9" t="s">
        <v>259</v>
      </c>
      <c r="G28" s="5" t="s">
        <v>260</v>
      </c>
      <c r="I28" s="15" t="s">
        <v>261</v>
      </c>
      <c r="K28" s="15" t="s">
        <v>261</v>
      </c>
      <c r="L28" s="25" t="s">
        <v>149</v>
      </c>
      <c r="M28" s="63" t="s">
        <v>150</v>
      </c>
      <c r="N28" s="63" t="s">
        <v>151</v>
      </c>
      <c r="O28" s="66" t="s">
        <v>20</v>
      </c>
    </row>
    <row r="29" spans="1:15" ht="120" customHeight="1" x14ac:dyDescent="0.25">
      <c r="A29" s="77" t="str">
        <f t="shared" si="0"/>
        <v>TC_Std_027</v>
      </c>
      <c r="B29" s="1" t="s">
        <v>216</v>
      </c>
      <c r="D29" s="9" t="s">
        <v>262</v>
      </c>
      <c r="F29" s="9" t="s">
        <v>263</v>
      </c>
      <c r="G29" s="15" t="s">
        <v>264</v>
      </c>
      <c r="I29" s="15" t="s">
        <v>265</v>
      </c>
      <c r="K29" s="15" t="s">
        <v>265</v>
      </c>
      <c r="L29" s="25" t="s">
        <v>149</v>
      </c>
      <c r="M29" s="63" t="s">
        <v>150</v>
      </c>
      <c r="N29" s="63" t="s">
        <v>151</v>
      </c>
      <c r="O29" s="66" t="s">
        <v>20</v>
      </c>
    </row>
    <row r="30" spans="1:15" ht="120" customHeight="1" x14ac:dyDescent="0.25">
      <c r="A30" s="77" t="str">
        <f t="shared" si="0"/>
        <v>TC_Std_028</v>
      </c>
      <c r="B30" s="1" t="s">
        <v>266</v>
      </c>
      <c r="D30" s="9" t="s">
        <v>267</v>
      </c>
      <c r="F30" s="9" t="s">
        <v>268</v>
      </c>
      <c r="G30" s="15" t="s">
        <v>269</v>
      </c>
      <c r="I30" s="15" t="s">
        <v>270</v>
      </c>
      <c r="K30" s="15" t="s">
        <v>271</v>
      </c>
      <c r="L30" s="25" t="s">
        <v>149</v>
      </c>
      <c r="M30" s="63" t="s">
        <v>150</v>
      </c>
      <c r="N30" s="63" t="s">
        <v>151</v>
      </c>
      <c r="O30" s="66" t="s">
        <v>20</v>
      </c>
    </row>
    <row r="31" spans="1:15" ht="120" customHeight="1" x14ac:dyDescent="0.25">
      <c r="A31" s="77" t="str">
        <f t="shared" si="0"/>
        <v>TC_Std_029</v>
      </c>
      <c r="B31" s="1" t="s">
        <v>266</v>
      </c>
      <c r="D31" s="9" t="s">
        <v>272</v>
      </c>
      <c r="F31" s="9" t="s">
        <v>273</v>
      </c>
      <c r="G31" s="15" t="s">
        <v>274</v>
      </c>
      <c r="I31" s="15" t="s">
        <v>215</v>
      </c>
      <c r="K31" s="15" t="s">
        <v>215</v>
      </c>
      <c r="L31" s="25" t="s">
        <v>149</v>
      </c>
      <c r="M31" s="63" t="s">
        <v>150</v>
      </c>
      <c r="N31" s="63" t="s">
        <v>151</v>
      </c>
      <c r="O31" s="66" t="s">
        <v>20</v>
      </c>
    </row>
    <row r="32" spans="1:15" ht="120" customHeight="1" x14ac:dyDescent="0.25">
      <c r="A32" s="77" t="str">
        <f t="shared" si="0"/>
        <v>TC_Std_030</v>
      </c>
      <c r="B32" s="1" t="s">
        <v>266</v>
      </c>
      <c r="D32" s="9" t="s">
        <v>275</v>
      </c>
      <c r="F32" s="9" t="s">
        <v>276</v>
      </c>
      <c r="G32" s="15" t="s">
        <v>277</v>
      </c>
      <c r="I32" s="15" t="s">
        <v>278</v>
      </c>
      <c r="K32" s="15" t="s">
        <v>278</v>
      </c>
      <c r="L32" s="25" t="s">
        <v>149</v>
      </c>
      <c r="M32" s="63" t="s">
        <v>150</v>
      </c>
      <c r="N32" s="63" t="s">
        <v>151</v>
      </c>
      <c r="O32" s="66" t="s">
        <v>20</v>
      </c>
    </row>
    <row r="33" spans="1:15" ht="120" customHeight="1" x14ac:dyDescent="0.25">
      <c r="A33" s="77" t="str">
        <f t="shared" si="0"/>
        <v>TC_Std_031</v>
      </c>
      <c r="B33" s="1" t="s">
        <v>279</v>
      </c>
      <c r="D33" s="9" t="s">
        <v>280</v>
      </c>
      <c r="E33" t="s">
        <v>281</v>
      </c>
      <c r="F33" s="9" t="s">
        <v>282</v>
      </c>
      <c r="G33" s="15" t="s">
        <v>283</v>
      </c>
      <c r="I33" s="15" t="s">
        <v>284</v>
      </c>
      <c r="K33" s="15" t="s">
        <v>284</v>
      </c>
      <c r="L33" s="25" t="s">
        <v>149</v>
      </c>
      <c r="M33" s="63" t="s">
        <v>150</v>
      </c>
      <c r="N33" s="63" t="s">
        <v>151</v>
      </c>
      <c r="O33" s="66" t="s">
        <v>20</v>
      </c>
    </row>
    <row r="34" spans="1:15" ht="46.15" customHeight="1" x14ac:dyDescent="0.25">
      <c r="A34" s="108" t="s">
        <v>285</v>
      </c>
      <c r="B34" s="108"/>
      <c r="C34" s="108"/>
      <c r="D34" s="108"/>
      <c r="E34" s="108"/>
      <c r="F34" s="108"/>
      <c r="G34" s="108"/>
      <c r="H34" s="108"/>
      <c r="I34" s="108"/>
      <c r="J34" s="108"/>
      <c r="K34" s="108"/>
      <c r="L34" s="108"/>
      <c r="M34" s="108"/>
      <c r="N34" s="108"/>
      <c r="O34" s="108"/>
    </row>
    <row r="35" spans="1:15" ht="120" customHeight="1" x14ac:dyDescent="0.25">
      <c r="A35" s="79" t="str">
        <f>"TC_PU_" &amp; TEXT(ROW(A1), "000")</f>
        <v>TC_PU_001</v>
      </c>
      <c r="B35" s="63" t="s">
        <v>286</v>
      </c>
      <c r="C35" s="50"/>
      <c r="D35" s="49" t="s">
        <v>287</v>
      </c>
      <c r="E35" s="49" t="s">
        <v>288</v>
      </c>
      <c r="F35" s="49" t="s">
        <v>289</v>
      </c>
      <c r="G35" s="49" t="s">
        <v>290</v>
      </c>
      <c r="H35" s="51"/>
      <c r="I35" s="49" t="s">
        <v>291</v>
      </c>
      <c r="J35" s="49"/>
      <c r="K35" s="49" t="s">
        <v>292</v>
      </c>
      <c r="L35" s="2" t="s">
        <v>238</v>
      </c>
      <c r="M35" s="73" t="s">
        <v>293</v>
      </c>
      <c r="N35" s="63" t="s">
        <v>151</v>
      </c>
      <c r="O35" s="66" t="s">
        <v>20</v>
      </c>
    </row>
    <row r="36" spans="1:15" ht="120" customHeight="1" x14ac:dyDescent="0.25">
      <c r="A36" s="79" t="str">
        <f t="shared" ref="A36:A49" si="1">"TC_PU_" &amp; TEXT(ROW(A2), "000")</f>
        <v>TC_PU_002</v>
      </c>
      <c r="B36" s="80" t="s">
        <v>286</v>
      </c>
      <c r="C36" s="53"/>
      <c r="D36" s="52" t="s">
        <v>294</v>
      </c>
      <c r="E36" s="52" t="s">
        <v>295</v>
      </c>
      <c r="F36" s="52" t="s">
        <v>289</v>
      </c>
      <c r="G36" s="52" t="s">
        <v>296</v>
      </c>
      <c r="H36" s="54"/>
      <c r="I36" s="52" t="s">
        <v>291</v>
      </c>
      <c r="J36" s="52"/>
      <c r="K36" s="52" t="s">
        <v>291</v>
      </c>
      <c r="L36" s="2" t="s">
        <v>149</v>
      </c>
      <c r="M36" s="73" t="s">
        <v>293</v>
      </c>
      <c r="N36" s="63" t="s">
        <v>151</v>
      </c>
      <c r="O36" s="66" t="s">
        <v>20</v>
      </c>
    </row>
    <row r="37" spans="1:15" ht="120" customHeight="1" x14ac:dyDescent="0.25">
      <c r="A37" s="79" t="str">
        <f t="shared" si="1"/>
        <v>TC_PU_003</v>
      </c>
      <c r="B37" s="80" t="s">
        <v>286</v>
      </c>
      <c r="C37" s="56"/>
      <c r="D37" s="54" t="s">
        <v>297</v>
      </c>
      <c r="E37" s="54" t="s">
        <v>298</v>
      </c>
      <c r="F37" s="54" t="s">
        <v>289</v>
      </c>
      <c r="G37" s="52" t="s">
        <v>299</v>
      </c>
      <c r="H37" s="52"/>
      <c r="I37" s="52" t="s">
        <v>300</v>
      </c>
      <c r="J37" s="54"/>
      <c r="K37" s="52" t="s">
        <v>301</v>
      </c>
      <c r="L37" s="2" t="s">
        <v>238</v>
      </c>
      <c r="M37" s="73" t="s">
        <v>293</v>
      </c>
      <c r="N37" s="63" t="s">
        <v>151</v>
      </c>
      <c r="O37" s="66" t="s">
        <v>20</v>
      </c>
    </row>
    <row r="38" spans="1:15" ht="120" customHeight="1" x14ac:dyDescent="0.25">
      <c r="A38" s="79" t="str">
        <f t="shared" si="1"/>
        <v>TC_PU_004</v>
      </c>
      <c r="B38" s="80" t="s">
        <v>286</v>
      </c>
      <c r="C38" s="56"/>
      <c r="D38" s="52" t="s">
        <v>302</v>
      </c>
      <c r="E38" s="54" t="s">
        <v>303</v>
      </c>
      <c r="F38" s="54" t="s">
        <v>289</v>
      </c>
      <c r="G38" s="52" t="s">
        <v>304</v>
      </c>
      <c r="H38" s="52"/>
      <c r="I38" s="52" t="s">
        <v>305</v>
      </c>
      <c r="J38" s="54"/>
      <c r="K38" s="54" t="s">
        <v>292</v>
      </c>
      <c r="L38" s="2" t="s">
        <v>238</v>
      </c>
      <c r="M38" s="73" t="s">
        <v>293</v>
      </c>
      <c r="N38" s="63" t="s">
        <v>151</v>
      </c>
      <c r="O38" s="66" t="s">
        <v>20</v>
      </c>
    </row>
    <row r="39" spans="1:15" ht="120" customHeight="1" x14ac:dyDescent="0.25">
      <c r="A39" s="79" t="str">
        <f t="shared" si="1"/>
        <v>TC_PU_005</v>
      </c>
      <c r="B39" s="80" t="s">
        <v>286</v>
      </c>
      <c r="C39" s="56"/>
      <c r="D39" s="52" t="s">
        <v>302</v>
      </c>
      <c r="E39" s="54" t="s">
        <v>306</v>
      </c>
      <c r="F39" s="54" t="s">
        <v>289</v>
      </c>
      <c r="G39" s="52" t="s">
        <v>307</v>
      </c>
      <c r="H39" s="52"/>
      <c r="I39" s="52" t="s">
        <v>308</v>
      </c>
      <c r="J39" s="54"/>
      <c r="K39" s="52" t="s">
        <v>309</v>
      </c>
      <c r="L39" s="2" t="s">
        <v>238</v>
      </c>
      <c r="M39" s="73" t="s">
        <v>293</v>
      </c>
      <c r="N39" s="63" t="s">
        <v>151</v>
      </c>
      <c r="O39" s="66" t="s">
        <v>20</v>
      </c>
    </row>
    <row r="40" spans="1:15" ht="120" customHeight="1" x14ac:dyDescent="0.25">
      <c r="A40" s="79" t="str">
        <f t="shared" si="1"/>
        <v>TC_PU_006</v>
      </c>
      <c r="B40" s="80" t="s">
        <v>310</v>
      </c>
      <c r="C40" s="53"/>
      <c r="D40" s="52" t="s">
        <v>311</v>
      </c>
      <c r="E40" s="52" t="s">
        <v>312</v>
      </c>
      <c r="F40" s="52" t="s">
        <v>289</v>
      </c>
      <c r="G40" s="52" t="s">
        <v>313</v>
      </c>
      <c r="H40" s="57" t="s">
        <v>314</v>
      </c>
      <c r="I40" s="52" t="s">
        <v>315</v>
      </c>
      <c r="J40" s="52"/>
      <c r="K40" s="52" t="s">
        <v>316</v>
      </c>
      <c r="L40" s="2" t="s">
        <v>238</v>
      </c>
      <c r="M40" s="73" t="s">
        <v>293</v>
      </c>
      <c r="N40" s="63" t="s">
        <v>151</v>
      </c>
      <c r="O40" s="66" t="s">
        <v>20</v>
      </c>
    </row>
    <row r="41" spans="1:15" ht="120" customHeight="1" x14ac:dyDescent="0.25">
      <c r="A41" s="79" t="str">
        <f t="shared" si="1"/>
        <v>TC_PU_007</v>
      </c>
      <c r="B41" s="80" t="s">
        <v>317</v>
      </c>
      <c r="C41" s="53"/>
      <c r="D41" s="52" t="s">
        <v>318</v>
      </c>
      <c r="E41" s="52" t="s">
        <v>319</v>
      </c>
      <c r="F41" s="52" t="s">
        <v>289</v>
      </c>
      <c r="G41" s="52" t="s">
        <v>320</v>
      </c>
      <c r="H41" s="57" t="s">
        <v>321</v>
      </c>
      <c r="I41" s="52" t="s">
        <v>322</v>
      </c>
      <c r="J41" s="52"/>
      <c r="K41" s="52" t="s">
        <v>323</v>
      </c>
      <c r="L41" s="2" t="s">
        <v>238</v>
      </c>
      <c r="M41" s="73" t="s">
        <v>293</v>
      </c>
      <c r="N41" s="63" t="s">
        <v>151</v>
      </c>
      <c r="O41" s="66" t="s">
        <v>20</v>
      </c>
    </row>
    <row r="42" spans="1:15" ht="120" customHeight="1" x14ac:dyDescent="0.25">
      <c r="A42" s="79" t="str">
        <f t="shared" si="1"/>
        <v>TC_PU_008</v>
      </c>
      <c r="B42" s="80" t="s">
        <v>317</v>
      </c>
      <c r="C42" s="53"/>
      <c r="D42" s="52" t="s">
        <v>324</v>
      </c>
      <c r="E42" s="52" t="s">
        <v>325</v>
      </c>
      <c r="F42" s="52" t="s">
        <v>289</v>
      </c>
      <c r="G42" s="52" t="s">
        <v>326</v>
      </c>
      <c r="H42" s="57" t="s">
        <v>327</v>
      </c>
      <c r="I42" s="52" t="s">
        <v>328</v>
      </c>
      <c r="J42" s="52"/>
      <c r="K42" s="52" t="s">
        <v>329</v>
      </c>
      <c r="L42" s="2" t="s">
        <v>238</v>
      </c>
      <c r="M42" s="73" t="s">
        <v>293</v>
      </c>
      <c r="N42" s="63" t="s">
        <v>151</v>
      </c>
      <c r="O42" s="66" t="s">
        <v>20</v>
      </c>
    </row>
    <row r="43" spans="1:15" ht="120" customHeight="1" x14ac:dyDescent="0.25">
      <c r="A43" s="79" t="str">
        <f t="shared" si="1"/>
        <v>TC_PU_009</v>
      </c>
      <c r="B43" s="80" t="s">
        <v>317</v>
      </c>
      <c r="C43" s="53"/>
      <c r="D43" s="52" t="s">
        <v>330</v>
      </c>
      <c r="E43" s="52" t="s">
        <v>331</v>
      </c>
      <c r="F43" s="52" t="s">
        <v>289</v>
      </c>
      <c r="G43" s="52" t="s">
        <v>332</v>
      </c>
      <c r="H43" s="52" t="s">
        <v>333</v>
      </c>
      <c r="I43" s="52" t="s">
        <v>328</v>
      </c>
      <c r="J43" s="52"/>
      <c r="K43" s="52" t="s">
        <v>329</v>
      </c>
      <c r="L43" s="2" t="s">
        <v>238</v>
      </c>
      <c r="M43" s="73" t="s">
        <v>293</v>
      </c>
      <c r="N43" s="63" t="s">
        <v>151</v>
      </c>
      <c r="O43" s="66" t="s">
        <v>20</v>
      </c>
    </row>
    <row r="44" spans="1:15" ht="120" customHeight="1" x14ac:dyDescent="0.25">
      <c r="A44" s="79" t="str">
        <f t="shared" si="1"/>
        <v>TC_PU_010</v>
      </c>
      <c r="B44" s="80" t="s">
        <v>317</v>
      </c>
      <c r="C44" s="53"/>
      <c r="D44" s="52" t="s">
        <v>334</v>
      </c>
      <c r="E44" s="52" t="s">
        <v>335</v>
      </c>
      <c r="F44" s="52" t="s">
        <v>289</v>
      </c>
      <c r="G44" s="52" t="s">
        <v>336</v>
      </c>
      <c r="H44" s="57" t="s">
        <v>337</v>
      </c>
      <c r="I44" s="52" t="s">
        <v>338</v>
      </c>
      <c r="J44" s="52"/>
      <c r="K44" s="52" t="s">
        <v>339</v>
      </c>
      <c r="L44" s="2" t="s">
        <v>238</v>
      </c>
      <c r="M44" s="73" t="s">
        <v>293</v>
      </c>
      <c r="N44" s="63" t="s">
        <v>151</v>
      </c>
      <c r="O44" s="66" t="s">
        <v>20</v>
      </c>
    </row>
    <row r="45" spans="1:15" ht="120" customHeight="1" x14ac:dyDescent="0.25">
      <c r="A45" s="79" t="str">
        <f t="shared" si="1"/>
        <v>TC_PU_011</v>
      </c>
      <c r="B45" s="80" t="s">
        <v>317</v>
      </c>
      <c r="C45" s="53"/>
      <c r="D45" s="52" t="s">
        <v>340</v>
      </c>
      <c r="E45" s="52" t="s">
        <v>341</v>
      </c>
      <c r="F45" s="54" t="s">
        <v>289</v>
      </c>
      <c r="G45" s="52" t="s">
        <v>342</v>
      </c>
      <c r="H45" s="57" t="s">
        <v>343</v>
      </c>
      <c r="I45" s="52" t="s">
        <v>338</v>
      </c>
      <c r="J45" s="54"/>
      <c r="K45" s="52" t="s">
        <v>329</v>
      </c>
      <c r="L45" s="2" t="s">
        <v>238</v>
      </c>
      <c r="M45" s="73" t="s">
        <v>293</v>
      </c>
      <c r="N45" s="63" t="s">
        <v>151</v>
      </c>
      <c r="O45" s="66" t="s">
        <v>20</v>
      </c>
    </row>
    <row r="46" spans="1:15" ht="120" customHeight="1" x14ac:dyDescent="0.25">
      <c r="A46" s="79" t="str">
        <f t="shared" si="1"/>
        <v>TC_PU_012</v>
      </c>
      <c r="B46" s="80" t="s">
        <v>344</v>
      </c>
      <c r="C46" s="53"/>
      <c r="D46" s="52" t="s">
        <v>345</v>
      </c>
      <c r="E46" s="54" t="s">
        <v>346</v>
      </c>
      <c r="F46" s="52" t="s">
        <v>347</v>
      </c>
      <c r="G46" s="52" t="s">
        <v>348</v>
      </c>
      <c r="H46" s="54"/>
      <c r="I46" s="54" t="s">
        <v>349</v>
      </c>
      <c r="J46" s="54"/>
      <c r="K46" s="52" t="s">
        <v>349</v>
      </c>
      <c r="L46" s="2" t="s">
        <v>149</v>
      </c>
      <c r="M46" s="73" t="s">
        <v>293</v>
      </c>
      <c r="N46" s="63" t="s">
        <v>151</v>
      </c>
      <c r="O46" s="63" t="s">
        <v>31</v>
      </c>
    </row>
    <row r="47" spans="1:15" ht="120" customHeight="1" x14ac:dyDescent="0.25">
      <c r="A47" s="79" t="str">
        <f t="shared" si="1"/>
        <v>TC_PU_013</v>
      </c>
      <c r="B47" s="80" t="s">
        <v>344</v>
      </c>
      <c r="C47" s="53"/>
      <c r="D47" s="52" t="s">
        <v>350</v>
      </c>
      <c r="E47" s="54" t="s">
        <v>350</v>
      </c>
      <c r="F47" s="52" t="s">
        <v>347</v>
      </c>
      <c r="G47" s="52" t="s">
        <v>351</v>
      </c>
      <c r="H47" s="52" t="s">
        <v>352</v>
      </c>
      <c r="I47" s="54" t="s">
        <v>353</v>
      </c>
      <c r="J47" s="54"/>
      <c r="K47" s="54" t="s">
        <v>354</v>
      </c>
      <c r="L47" s="2" t="s">
        <v>149</v>
      </c>
      <c r="M47" s="73" t="s">
        <v>293</v>
      </c>
      <c r="N47" s="63" t="s">
        <v>151</v>
      </c>
      <c r="O47" s="66" t="s">
        <v>20</v>
      </c>
    </row>
    <row r="48" spans="1:15" ht="120" customHeight="1" x14ac:dyDescent="0.25">
      <c r="A48" s="79" t="str">
        <f t="shared" si="1"/>
        <v>TC_PU_014</v>
      </c>
      <c r="B48" s="80" t="s">
        <v>344</v>
      </c>
      <c r="C48" s="53"/>
      <c r="D48" s="52" t="s">
        <v>355</v>
      </c>
      <c r="E48" s="54" t="s">
        <v>355</v>
      </c>
      <c r="F48" s="52" t="s">
        <v>347</v>
      </c>
      <c r="G48" s="52" t="s">
        <v>356</v>
      </c>
      <c r="H48" s="52" t="s">
        <v>357</v>
      </c>
      <c r="I48" s="54" t="s">
        <v>358</v>
      </c>
      <c r="J48" s="54"/>
      <c r="K48" s="54" t="s">
        <v>359</v>
      </c>
      <c r="L48" s="2" t="s">
        <v>238</v>
      </c>
      <c r="M48" s="73" t="s">
        <v>293</v>
      </c>
      <c r="N48" s="63" t="s">
        <v>151</v>
      </c>
      <c r="O48" s="66" t="s">
        <v>20</v>
      </c>
    </row>
    <row r="49" spans="1:15" ht="120" customHeight="1" x14ac:dyDescent="0.25">
      <c r="A49" s="79" t="str">
        <f t="shared" si="1"/>
        <v>TC_PU_015</v>
      </c>
      <c r="B49" s="80" t="s">
        <v>344</v>
      </c>
      <c r="C49" s="53"/>
      <c r="D49" s="52" t="s">
        <v>360</v>
      </c>
      <c r="E49" s="54" t="s">
        <v>360</v>
      </c>
      <c r="F49" s="52" t="s">
        <v>347</v>
      </c>
      <c r="G49" s="52" t="s">
        <v>361</v>
      </c>
      <c r="H49" s="52" t="s">
        <v>362</v>
      </c>
      <c r="I49" s="54" t="s">
        <v>363</v>
      </c>
      <c r="J49" s="54"/>
      <c r="K49" s="54" t="s">
        <v>354</v>
      </c>
      <c r="L49" s="2" t="s">
        <v>149</v>
      </c>
      <c r="M49" s="73" t="s">
        <v>293</v>
      </c>
      <c r="N49" s="63" t="s">
        <v>151</v>
      </c>
      <c r="O49" s="66" t="s">
        <v>20</v>
      </c>
    </row>
    <row r="50" spans="1:15" ht="19.899999999999999" hidden="1" customHeight="1" x14ac:dyDescent="0.25"/>
    <row r="51" spans="1:15" ht="46.15" customHeight="1" x14ac:dyDescent="0.25">
      <c r="A51" s="108" t="s">
        <v>364</v>
      </c>
      <c r="B51" s="108"/>
      <c r="C51" s="108"/>
      <c r="D51" s="108"/>
      <c r="E51" s="108"/>
      <c r="F51" s="108"/>
      <c r="G51" s="108"/>
      <c r="H51" s="108"/>
      <c r="I51" s="108"/>
      <c r="J51" s="108"/>
      <c r="K51" s="108"/>
      <c r="L51" s="108"/>
      <c r="M51" s="108"/>
      <c r="N51" s="108"/>
      <c r="O51" s="108"/>
    </row>
    <row r="52" spans="1:15" ht="150" customHeight="1" x14ac:dyDescent="0.25">
      <c r="A52" s="1" t="str">
        <f>"TC_PGU_" &amp; TEXT(ROW(A1), "000")</f>
        <v>TC_PGU_001</v>
      </c>
      <c r="B52" s="1" t="s">
        <v>21</v>
      </c>
      <c r="C52" s="3"/>
      <c r="D52" s="1" t="s">
        <v>365</v>
      </c>
      <c r="E52" s="1" t="s">
        <v>366</v>
      </c>
      <c r="F52" s="1" t="s">
        <v>367</v>
      </c>
      <c r="G52" s="2" t="s">
        <v>368</v>
      </c>
      <c r="H52" s="2" t="s">
        <v>369</v>
      </c>
      <c r="I52" s="2" t="s">
        <v>370</v>
      </c>
      <c r="J52" s="2" t="s">
        <v>371</v>
      </c>
      <c r="K52" s="2" t="s">
        <v>354</v>
      </c>
      <c r="L52" s="2" t="s">
        <v>149</v>
      </c>
      <c r="M52" s="1" t="s">
        <v>372</v>
      </c>
      <c r="N52" s="2" t="s">
        <v>373</v>
      </c>
      <c r="O52" s="2"/>
    </row>
    <row r="53" spans="1:15" ht="150" customHeight="1" x14ac:dyDescent="0.25">
      <c r="A53" s="1" t="str">
        <f t="shared" ref="A53:A109" si="2">"TC_PGU_" &amp; TEXT(ROW(A2), "000")</f>
        <v>TC_PGU_002</v>
      </c>
      <c r="B53" s="1" t="s">
        <v>21</v>
      </c>
      <c r="C53" s="3"/>
      <c r="D53" s="1" t="s">
        <v>374</v>
      </c>
      <c r="E53" s="1" t="s">
        <v>375</v>
      </c>
      <c r="F53" s="1" t="s">
        <v>367</v>
      </c>
      <c r="G53" s="2" t="s">
        <v>376</v>
      </c>
      <c r="H53" s="2" t="s">
        <v>377</v>
      </c>
      <c r="I53" s="2" t="s">
        <v>378</v>
      </c>
      <c r="J53" s="2" t="s">
        <v>379</v>
      </c>
      <c r="K53" s="2" t="s">
        <v>354</v>
      </c>
      <c r="L53" s="2" t="s">
        <v>149</v>
      </c>
      <c r="M53" s="1" t="s">
        <v>372</v>
      </c>
      <c r="N53" s="2" t="s">
        <v>373</v>
      </c>
      <c r="O53" s="2"/>
    </row>
    <row r="54" spans="1:15" ht="150" customHeight="1" x14ac:dyDescent="0.25">
      <c r="A54" s="1" t="str">
        <f t="shared" si="2"/>
        <v>TC_PGU_003</v>
      </c>
      <c r="B54" s="1" t="s">
        <v>21</v>
      </c>
      <c r="C54" s="16"/>
      <c r="D54" s="1" t="s">
        <v>380</v>
      </c>
      <c r="E54" s="1" t="s">
        <v>381</v>
      </c>
      <c r="F54" s="1" t="s">
        <v>367</v>
      </c>
      <c r="G54" s="2" t="s">
        <v>382</v>
      </c>
      <c r="H54" s="2" t="s">
        <v>383</v>
      </c>
      <c r="I54" s="2" t="s">
        <v>384</v>
      </c>
      <c r="J54" s="2" t="s">
        <v>379</v>
      </c>
      <c r="K54" s="2" t="s">
        <v>354</v>
      </c>
      <c r="L54" s="2" t="s">
        <v>149</v>
      </c>
      <c r="M54" s="1" t="s">
        <v>372</v>
      </c>
      <c r="N54" s="2" t="s">
        <v>373</v>
      </c>
      <c r="O54" s="2"/>
    </row>
    <row r="55" spans="1:15" ht="150" customHeight="1" x14ac:dyDescent="0.25">
      <c r="A55" s="1" t="str">
        <f t="shared" si="2"/>
        <v>TC_PGU_004</v>
      </c>
      <c r="B55" s="1" t="s">
        <v>21</v>
      </c>
      <c r="C55" s="16"/>
      <c r="D55" s="1" t="s">
        <v>385</v>
      </c>
      <c r="E55" s="1" t="s">
        <v>386</v>
      </c>
      <c r="F55" s="1" t="s">
        <v>367</v>
      </c>
      <c r="G55" s="2" t="s">
        <v>387</v>
      </c>
      <c r="H55" s="2" t="s">
        <v>388</v>
      </c>
      <c r="I55" s="2" t="s">
        <v>389</v>
      </c>
      <c r="J55" s="2" t="s">
        <v>379</v>
      </c>
      <c r="K55" s="2" t="s">
        <v>354</v>
      </c>
      <c r="L55" s="2" t="s">
        <v>149</v>
      </c>
      <c r="M55" s="1" t="s">
        <v>372</v>
      </c>
      <c r="N55" s="2" t="s">
        <v>373</v>
      </c>
      <c r="O55" s="2"/>
    </row>
    <row r="56" spans="1:15" ht="150" customHeight="1" x14ac:dyDescent="0.25">
      <c r="A56" s="1" t="str">
        <f t="shared" si="2"/>
        <v>TC_PGU_005</v>
      </c>
      <c r="B56" s="1" t="s">
        <v>390</v>
      </c>
      <c r="C56" s="16"/>
      <c r="D56" s="1" t="s">
        <v>391</v>
      </c>
      <c r="E56" s="6" t="s">
        <v>392</v>
      </c>
      <c r="F56" s="1" t="s">
        <v>393</v>
      </c>
      <c r="G56" s="2" t="s">
        <v>394</v>
      </c>
      <c r="H56" s="2" t="s">
        <v>369</v>
      </c>
      <c r="I56" s="2" t="s">
        <v>395</v>
      </c>
      <c r="J56" s="2" t="s">
        <v>396</v>
      </c>
      <c r="K56" s="2" t="s">
        <v>354</v>
      </c>
      <c r="L56" s="2" t="s">
        <v>149</v>
      </c>
      <c r="M56" s="1" t="s">
        <v>372</v>
      </c>
      <c r="N56" s="2" t="s">
        <v>373</v>
      </c>
      <c r="O56" s="9"/>
    </row>
    <row r="57" spans="1:15" ht="150" customHeight="1" x14ac:dyDescent="0.25">
      <c r="A57" s="1" t="str">
        <f t="shared" si="2"/>
        <v>TC_PGU_006</v>
      </c>
      <c r="B57" s="1" t="s">
        <v>390</v>
      </c>
      <c r="C57" s="16"/>
      <c r="D57" s="1" t="s">
        <v>397</v>
      </c>
      <c r="E57" s="6" t="s">
        <v>398</v>
      </c>
      <c r="F57" s="1" t="s">
        <v>393</v>
      </c>
      <c r="G57" s="2" t="s">
        <v>399</v>
      </c>
      <c r="H57" s="2" t="s">
        <v>369</v>
      </c>
      <c r="I57" s="2" t="s">
        <v>400</v>
      </c>
      <c r="J57" s="2" t="s">
        <v>379</v>
      </c>
      <c r="K57" s="2" t="s">
        <v>354</v>
      </c>
      <c r="L57" s="2" t="s">
        <v>149</v>
      </c>
      <c r="M57" s="1" t="s">
        <v>372</v>
      </c>
      <c r="N57" s="2" t="s">
        <v>373</v>
      </c>
      <c r="O57" s="9"/>
    </row>
    <row r="58" spans="1:15" ht="150" customHeight="1" x14ac:dyDescent="0.25">
      <c r="A58" s="1" t="str">
        <f t="shared" si="2"/>
        <v>TC_PGU_007</v>
      </c>
      <c r="B58" s="1" t="s">
        <v>401</v>
      </c>
      <c r="C58" s="3"/>
      <c r="D58" s="1" t="s">
        <v>402</v>
      </c>
      <c r="E58" s="1" t="s">
        <v>403</v>
      </c>
      <c r="F58" s="1" t="s">
        <v>393</v>
      </c>
      <c r="G58" s="2" t="s">
        <v>404</v>
      </c>
      <c r="H58" s="2" t="s">
        <v>369</v>
      </c>
      <c r="I58" s="2" t="s">
        <v>405</v>
      </c>
      <c r="J58" s="2" t="s">
        <v>379</v>
      </c>
      <c r="K58" s="2" t="s">
        <v>354</v>
      </c>
      <c r="L58" s="2" t="s">
        <v>149</v>
      </c>
      <c r="M58" s="1" t="s">
        <v>372</v>
      </c>
      <c r="N58" s="2" t="s">
        <v>373</v>
      </c>
    </row>
    <row r="59" spans="1:15" ht="150" customHeight="1" x14ac:dyDescent="0.25">
      <c r="A59" s="1" t="str">
        <f t="shared" si="2"/>
        <v>TC_PGU_008</v>
      </c>
      <c r="B59" s="1" t="s">
        <v>401</v>
      </c>
      <c r="C59" s="3"/>
      <c r="D59" s="1" t="s">
        <v>406</v>
      </c>
      <c r="E59" s="1" t="s">
        <v>407</v>
      </c>
      <c r="F59" s="1" t="s">
        <v>393</v>
      </c>
      <c r="G59" s="2" t="s">
        <v>408</v>
      </c>
      <c r="H59" s="2" t="s">
        <v>369</v>
      </c>
      <c r="I59" s="2" t="s">
        <v>409</v>
      </c>
      <c r="J59" s="2" t="s">
        <v>379</v>
      </c>
      <c r="K59" s="2" t="s">
        <v>354</v>
      </c>
      <c r="L59" s="2" t="s">
        <v>149</v>
      </c>
      <c r="M59" s="1" t="s">
        <v>372</v>
      </c>
      <c r="N59" s="2" t="s">
        <v>373</v>
      </c>
    </row>
    <row r="60" spans="1:15" ht="150" customHeight="1" x14ac:dyDescent="0.25">
      <c r="A60" s="1" t="str">
        <f t="shared" si="2"/>
        <v>TC_PGU_009</v>
      </c>
      <c r="B60" s="1" t="s">
        <v>401</v>
      </c>
      <c r="C60" s="3"/>
      <c r="D60" s="1" t="s">
        <v>410</v>
      </c>
      <c r="E60" s="1" t="s">
        <v>411</v>
      </c>
      <c r="F60" s="1" t="s">
        <v>393</v>
      </c>
      <c r="G60" s="2" t="s">
        <v>412</v>
      </c>
      <c r="H60" s="2" t="s">
        <v>369</v>
      </c>
      <c r="I60" s="2" t="s">
        <v>413</v>
      </c>
      <c r="J60" s="2" t="s">
        <v>379</v>
      </c>
      <c r="K60" s="2" t="s">
        <v>354</v>
      </c>
      <c r="L60" s="2" t="s">
        <v>149</v>
      </c>
      <c r="M60" s="1" t="s">
        <v>372</v>
      </c>
      <c r="N60" s="2" t="s">
        <v>373</v>
      </c>
    </row>
    <row r="61" spans="1:15" ht="150" customHeight="1" x14ac:dyDescent="0.25">
      <c r="A61" s="1" t="str">
        <f t="shared" si="2"/>
        <v>TC_PGU_010</v>
      </c>
      <c r="B61" s="1" t="s">
        <v>401</v>
      </c>
      <c r="C61" s="3"/>
      <c r="D61" s="1" t="s">
        <v>410</v>
      </c>
      <c r="E61" s="1" t="s">
        <v>414</v>
      </c>
      <c r="F61" s="1" t="s">
        <v>393</v>
      </c>
      <c r="G61" s="2" t="s">
        <v>412</v>
      </c>
      <c r="H61" s="2" t="s">
        <v>369</v>
      </c>
      <c r="I61" s="2" t="s">
        <v>413</v>
      </c>
      <c r="J61" s="2" t="s">
        <v>379</v>
      </c>
      <c r="K61" s="2" t="s">
        <v>354</v>
      </c>
      <c r="L61" s="2" t="s">
        <v>149</v>
      </c>
      <c r="M61" s="1" t="s">
        <v>372</v>
      </c>
      <c r="N61" s="2" t="s">
        <v>373</v>
      </c>
    </row>
    <row r="62" spans="1:15" ht="150" customHeight="1" x14ac:dyDescent="0.25">
      <c r="A62" s="1" t="str">
        <f t="shared" si="2"/>
        <v>TC_PGU_011</v>
      </c>
      <c r="B62" s="1" t="s">
        <v>401</v>
      </c>
      <c r="C62" s="3"/>
      <c r="D62" s="1" t="s">
        <v>415</v>
      </c>
      <c r="E62" s="1" t="s">
        <v>416</v>
      </c>
      <c r="F62" s="1" t="s">
        <v>393</v>
      </c>
      <c r="G62" s="2" t="s">
        <v>417</v>
      </c>
      <c r="H62" s="2" t="s">
        <v>369</v>
      </c>
      <c r="I62" s="2" t="s">
        <v>418</v>
      </c>
      <c r="J62" s="2" t="s">
        <v>379</v>
      </c>
      <c r="K62" s="2" t="s">
        <v>354</v>
      </c>
      <c r="L62" s="2" t="s">
        <v>149</v>
      </c>
      <c r="M62" s="1" t="s">
        <v>372</v>
      </c>
      <c r="N62" s="2" t="s">
        <v>373</v>
      </c>
    </row>
    <row r="63" spans="1:15" ht="150" customHeight="1" x14ac:dyDescent="0.25">
      <c r="A63" s="1" t="str">
        <f t="shared" si="2"/>
        <v>TC_PGU_012</v>
      </c>
      <c r="B63" s="1" t="s">
        <v>401</v>
      </c>
      <c r="C63" s="3"/>
      <c r="D63" s="1" t="s">
        <v>419</v>
      </c>
      <c r="E63" s="1" t="s">
        <v>420</v>
      </c>
      <c r="F63" s="1" t="s">
        <v>393</v>
      </c>
      <c r="G63" s="2" t="s">
        <v>421</v>
      </c>
      <c r="H63" s="2" t="s">
        <v>369</v>
      </c>
      <c r="I63" s="2" t="s">
        <v>418</v>
      </c>
      <c r="J63" s="2" t="s">
        <v>379</v>
      </c>
      <c r="K63" s="2" t="s">
        <v>354</v>
      </c>
      <c r="L63" s="2" t="s">
        <v>149</v>
      </c>
      <c r="M63" s="1" t="s">
        <v>372</v>
      </c>
      <c r="N63" s="2" t="s">
        <v>373</v>
      </c>
    </row>
    <row r="64" spans="1:15" ht="150" customHeight="1" x14ac:dyDescent="0.25">
      <c r="A64" s="1" t="str">
        <f t="shared" si="2"/>
        <v>TC_PGU_013</v>
      </c>
      <c r="B64" s="1" t="s">
        <v>422</v>
      </c>
      <c r="C64" s="3"/>
      <c r="D64" s="1" t="s">
        <v>423</v>
      </c>
      <c r="E64" s="1" t="s">
        <v>424</v>
      </c>
      <c r="F64" s="1" t="s">
        <v>393</v>
      </c>
      <c r="G64" s="2" t="s">
        <v>425</v>
      </c>
      <c r="H64" s="2" t="s">
        <v>369</v>
      </c>
      <c r="I64" s="2" t="s">
        <v>426</v>
      </c>
      <c r="J64" s="2" t="s">
        <v>379</v>
      </c>
      <c r="K64" s="2" t="s">
        <v>354</v>
      </c>
      <c r="L64" s="2" t="s">
        <v>149</v>
      </c>
      <c r="M64" s="1" t="s">
        <v>372</v>
      </c>
      <c r="N64" s="2" t="s">
        <v>373</v>
      </c>
    </row>
    <row r="65" spans="1:15" ht="150" customHeight="1" x14ac:dyDescent="0.25">
      <c r="A65" s="1" t="str">
        <f t="shared" si="2"/>
        <v>TC_PGU_014</v>
      </c>
      <c r="B65" s="1" t="s">
        <v>427</v>
      </c>
      <c r="C65" s="3"/>
      <c r="D65" s="1" t="s">
        <v>428</v>
      </c>
      <c r="E65" s="1" t="s">
        <v>429</v>
      </c>
      <c r="F65" s="1" t="s">
        <v>393</v>
      </c>
      <c r="G65" s="2" t="s">
        <v>430</v>
      </c>
      <c r="H65" s="2" t="s">
        <v>369</v>
      </c>
      <c r="I65" s="2" t="s">
        <v>431</v>
      </c>
      <c r="J65" s="2" t="s">
        <v>379</v>
      </c>
      <c r="K65" s="2" t="s">
        <v>354</v>
      </c>
      <c r="L65" s="2" t="s">
        <v>149</v>
      </c>
      <c r="M65" s="1" t="s">
        <v>372</v>
      </c>
      <c r="N65" s="2" t="s">
        <v>373</v>
      </c>
    </row>
    <row r="66" spans="1:15" ht="150" customHeight="1" x14ac:dyDescent="0.25">
      <c r="A66" s="1" t="str">
        <f t="shared" si="2"/>
        <v>TC_PGU_015</v>
      </c>
      <c r="B66" s="1" t="s">
        <v>422</v>
      </c>
      <c r="C66" s="3"/>
      <c r="D66" s="1" t="s">
        <v>432</v>
      </c>
      <c r="E66" s="1" t="s">
        <v>433</v>
      </c>
      <c r="F66" s="1" t="s">
        <v>393</v>
      </c>
      <c r="G66" s="2" t="s">
        <v>434</v>
      </c>
      <c r="H66" s="2" t="s">
        <v>369</v>
      </c>
      <c r="I66" s="2" t="s">
        <v>435</v>
      </c>
      <c r="J66" s="2" t="s">
        <v>379</v>
      </c>
      <c r="K66" s="2" t="s">
        <v>354</v>
      </c>
      <c r="L66" s="2" t="s">
        <v>149</v>
      </c>
      <c r="M66" s="1" t="s">
        <v>372</v>
      </c>
      <c r="N66" s="2" t="s">
        <v>373</v>
      </c>
    </row>
    <row r="67" spans="1:15" ht="150" customHeight="1" x14ac:dyDescent="0.25">
      <c r="A67" s="1" t="str">
        <f t="shared" si="2"/>
        <v>TC_PGU_016</v>
      </c>
      <c r="B67" s="1" t="s">
        <v>422</v>
      </c>
      <c r="C67" s="3"/>
      <c r="D67" s="1" t="s">
        <v>436</v>
      </c>
      <c r="E67" s="1" t="s">
        <v>437</v>
      </c>
      <c r="F67" s="1" t="s">
        <v>393</v>
      </c>
      <c r="G67" s="2" t="s">
        <v>438</v>
      </c>
      <c r="H67" s="2" t="s">
        <v>369</v>
      </c>
      <c r="I67" s="2" t="s">
        <v>439</v>
      </c>
      <c r="J67" s="2" t="s">
        <v>379</v>
      </c>
      <c r="K67" s="2" t="s">
        <v>354</v>
      </c>
      <c r="L67" s="2" t="s">
        <v>238</v>
      </c>
      <c r="M67" s="1" t="s">
        <v>372</v>
      </c>
      <c r="N67" s="2" t="s">
        <v>373</v>
      </c>
    </row>
    <row r="68" spans="1:15" ht="150" customHeight="1" x14ac:dyDescent="0.25">
      <c r="A68" s="1" t="str">
        <f t="shared" si="2"/>
        <v>TC_PGU_017</v>
      </c>
      <c r="B68" s="1" t="s">
        <v>422</v>
      </c>
      <c r="C68" s="3"/>
      <c r="D68" s="1" t="s">
        <v>440</v>
      </c>
      <c r="E68" s="1" t="s">
        <v>437</v>
      </c>
      <c r="F68" s="1" t="s">
        <v>393</v>
      </c>
      <c r="G68" s="2" t="s">
        <v>441</v>
      </c>
      <c r="H68" s="2" t="s">
        <v>369</v>
      </c>
      <c r="I68" s="2" t="s">
        <v>439</v>
      </c>
      <c r="J68" s="2" t="s">
        <v>379</v>
      </c>
      <c r="K68" s="2" t="s">
        <v>354</v>
      </c>
      <c r="L68" s="2" t="s">
        <v>149</v>
      </c>
      <c r="M68" s="1" t="s">
        <v>372</v>
      </c>
      <c r="N68" s="2" t="s">
        <v>373</v>
      </c>
    </row>
    <row r="69" spans="1:15" ht="150" customHeight="1" x14ac:dyDescent="0.25">
      <c r="A69" s="1" t="str">
        <f t="shared" si="2"/>
        <v>TC_PGU_018</v>
      </c>
      <c r="B69" s="38" t="s">
        <v>442</v>
      </c>
      <c r="C69" s="39"/>
      <c r="D69" s="39" t="s">
        <v>443</v>
      </c>
      <c r="E69" s="39" t="s">
        <v>444</v>
      </c>
      <c r="F69" s="38" t="s">
        <v>445</v>
      </c>
      <c r="G69" s="37" t="s">
        <v>446</v>
      </c>
      <c r="H69" s="40" t="s">
        <v>447</v>
      </c>
      <c r="I69" s="37" t="s">
        <v>448</v>
      </c>
      <c r="J69" s="38" t="s">
        <v>449</v>
      </c>
      <c r="K69" s="37" t="s">
        <v>450</v>
      </c>
      <c r="L69" s="59" t="s">
        <v>238</v>
      </c>
      <c r="M69" s="38" t="s">
        <v>451</v>
      </c>
      <c r="N69" s="2" t="s">
        <v>373</v>
      </c>
      <c r="O69" s="38"/>
    </row>
    <row r="70" spans="1:15" ht="150" customHeight="1" x14ac:dyDescent="0.25">
      <c r="A70" s="1" t="str">
        <f t="shared" si="2"/>
        <v>TC_PGU_019</v>
      </c>
      <c r="B70" s="38" t="s">
        <v>442</v>
      </c>
      <c r="C70" s="38"/>
      <c r="D70" s="39" t="s">
        <v>452</v>
      </c>
      <c r="E70" s="39" t="s">
        <v>453</v>
      </c>
      <c r="F70" s="38" t="s">
        <v>445</v>
      </c>
      <c r="G70" s="37" t="s">
        <v>454</v>
      </c>
      <c r="H70" s="40" t="s">
        <v>447</v>
      </c>
      <c r="I70" s="37" t="s">
        <v>448</v>
      </c>
      <c r="J70" s="38" t="s">
        <v>449</v>
      </c>
      <c r="K70" s="39" t="s">
        <v>354</v>
      </c>
      <c r="L70" s="59" t="s">
        <v>149</v>
      </c>
      <c r="M70" s="38" t="s">
        <v>451</v>
      </c>
      <c r="N70" s="2" t="s">
        <v>373</v>
      </c>
      <c r="O70" s="38"/>
    </row>
    <row r="71" spans="1:15" ht="150" customHeight="1" x14ac:dyDescent="0.25">
      <c r="A71" s="1" t="str">
        <f t="shared" si="2"/>
        <v>TC_PGU_020</v>
      </c>
      <c r="B71" s="38" t="s">
        <v>442</v>
      </c>
      <c r="C71" s="38"/>
      <c r="D71" s="39" t="s">
        <v>455</v>
      </c>
      <c r="E71" s="39" t="s">
        <v>456</v>
      </c>
      <c r="F71" s="38" t="s">
        <v>445</v>
      </c>
      <c r="G71" s="37" t="s">
        <v>457</v>
      </c>
      <c r="H71" s="40" t="s">
        <v>447</v>
      </c>
      <c r="I71" s="37" t="s">
        <v>458</v>
      </c>
      <c r="J71" s="38" t="s">
        <v>449</v>
      </c>
      <c r="K71" s="39" t="s">
        <v>354</v>
      </c>
      <c r="L71" s="59" t="s">
        <v>149</v>
      </c>
      <c r="M71" s="38" t="s">
        <v>451</v>
      </c>
      <c r="N71" s="2" t="s">
        <v>373</v>
      </c>
      <c r="O71" s="38"/>
    </row>
    <row r="72" spans="1:15" ht="150" customHeight="1" x14ac:dyDescent="0.25">
      <c r="A72" s="1" t="str">
        <f t="shared" si="2"/>
        <v>TC_PGU_021</v>
      </c>
      <c r="B72" s="38" t="s">
        <v>188</v>
      </c>
      <c r="C72" s="38"/>
      <c r="D72" s="38" t="s">
        <v>459</v>
      </c>
      <c r="E72" s="39" t="s">
        <v>460</v>
      </c>
      <c r="F72" s="38" t="s">
        <v>461</v>
      </c>
      <c r="G72" s="37" t="s">
        <v>462</v>
      </c>
      <c r="H72" s="40" t="s">
        <v>447</v>
      </c>
      <c r="I72" s="37" t="s">
        <v>463</v>
      </c>
      <c r="J72" s="38" t="s">
        <v>464</v>
      </c>
      <c r="K72" s="39" t="s">
        <v>354</v>
      </c>
      <c r="L72" s="59" t="s">
        <v>149</v>
      </c>
      <c r="M72" s="38" t="s">
        <v>451</v>
      </c>
      <c r="N72" s="2" t="s">
        <v>373</v>
      </c>
      <c r="O72" s="38"/>
    </row>
    <row r="73" spans="1:15" ht="150" customHeight="1" x14ac:dyDescent="0.25">
      <c r="A73" s="1" t="str">
        <f t="shared" si="2"/>
        <v>TC_PGU_022</v>
      </c>
      <c r="B73" s="38" t="s">
        <v>465</v>
      </c>
      <c r="C73" s="38"/>
      <c r="D73" s="38" t="s">
        <v>466</v>
      </c>
      <c r="E73" s="39" t="s">
        <v>467</v>
      </c>
      <c r="F73" s="38" t="s">
        <v>461</v>
      </c>
      <c r="G73" s="37" t="s">
        <v>468</v>
      </c>
      <c r="H73" s="40" t="s">
        <v>447</v>
      </c>
      <c r="I73" s="37" t="s">
        <v>469</v>
      </c>
      <c r="J73" s="39" t="s">
        <v>470</v>
      </c>
      <c r="K73" s="39" t="s">
        <v>354</v>
      </c>
      <c r="L73" s="59" t="s">
        <v>149</v>
      </c>
      <c r="M73" s="38" t="s">
        <v>451</v>
      </c>
      <c r="N73" s="2" t="s">
        <v>373</v>
      </c>
      <c r="O73" s="38"/>
    </row>
    <row r="74" spans="1:15" ht="150" customHeight="1" x14ac:dyDescent="0.25">
      <c r="A74" s="1" t="str">
        <f t="shared" si="2"/>
        <v>TC_PGU_023</v>
      </c>
      <c r="B74" s="39" t="s">
        <v>471</v>
      </c>
      <c r="C74" s="38"/>
      <c r="D74" s="38" t="s">
        <v>472</v>
      </c>
      <c r="E74" s="39" t="s">
        <v>473</v>
      </c>
      <c r="F74" s="38" t="s">
        <v>461</v>
      </c>
      <c r="G74" s="37" t="s">
        <v>474</v>
      </c>
      <c r="H74" s="40" t="s">
        <v>447</v>
      </c>
      <c r="I74" s="37" t="s">
        <v>475</v>
      </c>
      <c r="J74" s="38" t="s">
        <v>476</v>
      </c>
      <c r="K74" s="37" t="s">
        <v>477</v>
      </c>
      <c r="L74" s="59" t="s">
        <v>238</v>
      </c>
      <c r="M74" s="38" t="s">
        <v>451</v>
      </c>
      <c r="N74" s="2" t="s">
        <v>373</v>
      </c>
      <c r="O74" s="38"/>
    </row>
    <row r="75" spans="1:15" ht="150" customHeight="1" x14ac:dyDescent="0.25">
      <c r="A75" s="1" t="str">
        <f t="shared" si="2"/>
        <v>TC_PGU_024</v>
      </c>
      <c r="B75" s="39" t="s">
        <v>471</v>
      </c>
      <c r="C75" s="38"/>
      <c r="D75" s="38" t="s">
        <v>478</v>
      </c>
      <c r="E75" s="41" t="s">
        <v>479</v>
      </c>
      <c r="F75" s="38" t="s">
        <v>461</v>
      </c>
      <c r="G75" s="37" t="s">
        <v>480</v>
      </c>
      <c r="H75" s="40" t="s">
        <v>447</v>
      </c>
      <c r="I75" s="37" t="s">
        <v>469</v>
      </c>
      <c r="J75" s="38" t="s">
        <v>481</v>
      </c>
      <c r="K75" s="39" t="s">
        <v>354</v>
      </c>
      <c r="L75" s="59" t="s">
        <v>149</v>
      </c>
      <c r="M75" s="38" t="s">
        <v>451</v>
      </c>
      <c r="N75" s="2" t="s">
        <v>373</v>
      </c>
      <c r="O75" s="38"/>
    </row>
    <row r="76" spans="1:15" ht="150" customHeight="1" x14ac:dyDescent="0.25">
      <c r="A76" s="1" t="str">
        <f t="shared" si="2"/>
        <v>TC_PGU_025</v>
      </c>
      <c r="B76" s="38" t="s">
        <v>482</v>
      </c>
      <c r="C76" s="38"/>
      <c r="D76" s="38" t="s">
        <v>483</v>
      </c>
      <c r="E76" s="39" t="s">
        <v>484</v>
      </c>
      <c r="F76" s="39" t="s">
        <v>485</v>
      </c>
      <c r="G76" s="37" t="s">
        <v>486</v>
      </c>
      <c r="H76" s="40" t="s">
        <v>447</v>
      </c>
      <c r="I76" s="37" t="s">
        <v>487</v>
      </c>
      <c r="J76" s="38" t="s">
        <v>488</v>
      </c>
      <c r="K76" s="39" t="s">
        <v>354</v>
      </c>
      <c r="L76" s="59" t="s">
        <v>149</v>
      </c>
      <c r="M76" s="38" t="s">
        <v>451</v>
      </c>
      <c r="N76" s="2" t="s">
        <v>373</v>
      </c>
      <c r="O76" s="38"/>
    </row>
    <row r="77" spans="1:15" ht="150" customHeight="1" x14ac:dyDescent="0.25">
      <c r="A77" s="1" t="str">
        <f t="shared" si="2"/>
        <v>TC_PGU_026</v>
      </c>
      <c r="B77" s="39" t="s">
        <v>489</v>
      </c>
      <c r="C77" s="38"/>
      <c r="D77" s="38" t="s">
        <v>490</v>
      </c>
      <c r="E77" s="39" t="s">
        <v>491</v>
      </c>
      <c r="F77" s="39" t="s">
        <v>492</v>
      </c>
      <c r="G77" s="37" t="s">
        <v>493</v>
      </c>
      <c r="H77" s="40" t="s">
        <v>447</v>
      </c>
      <c r="I77" s="37" t="s">
        <v>494</v>
      </c>
      <c r="J77" s="39" t="s">
        <v>495</v>
      </c>
      <c r="K77" s="39" t="s">
        <v>354</v>
      </c>
      <c r="L77" s="59" t="s">
        <v>149</v>
      </c>
      <c r="M77" s="38" t="s">
        <v>451</v>
      </c>
      <c r="N77" s="2" t="s">
        <v>373</v>
      </c>
      <c r="O77" s="38"/>
    </row>
    <row r="78" spans="1:15" ht="150" customHeight="1" x14ac:dyDescent="0.25">
      <c r="A78" s="1" t="str">
        <f t="shared" si="2"/>
        <v>TC_PGU_027</v>
      </c>
      <c r="B78" s="39" t="s">
        <v>496</v>
      </c>
      <c r="C78" s="38"/>
      <c r="D78" s="39" t="s">
        <v>497</v>
      </c>
      <c r="E78" s="39" t="s">
        <v>498</v>
      </c>
      <c r="F78" s="38" t="s">
        <v>499</v>
      </c>
      <c r="G78" s="37" t="s">
        <v>500</v>
      </c>
      <c r="H78" s="40" t="s">
        <v>447</v>
      </c>
      <c r="I78" s="37" t="s">
        <v>501</v>
      </c>
      <c r="J78" s="39" t="s">
        <v>464</v>
      </c>
      <c r="K78" s="39" t="s">
        <v>502</v>
      </c>
      <c r="L78" s="59" t="s">
        <v>238</v>
      </c>
      <c r="M78" s="38" t="s">
        <v>451</v>
      </c>
      <c r="N78" s="2" t="s">
        <v>373</v>
      </c>
      <c r="O78" s="38"/>
    </row>
    <row r="79" spans="1:15" ht="150" customHeight="1" x14ac:dyDescent="0.25">
      <c r="A79" s="1" t="str">
        <f t="shared" si="2"/>
        <v>TC_PGU_028</v>
      </c>
      <c r="B79" s="6" t="s">
        <v>503</v>
      </c>
      <c r="D79" s="6" t="s">
        <v>504</v>
      </c>
      <c r="E79" s="1" t="s">
        <v>505</v>
      </c>
      <c r="F79" s="1" t="s">
        <v>506</v>
      </c>
      <c r="G79" s="37" t="s">
        <v>507</v>
      </c>
      <c r="H79" s="43" t="s">
        <v>508</v>
      </c>
      <c r="I79" s="37" t="s">
        <v>509</v>
      </c>
      <c r="J79" s="1" t="s">
        <v>510</v>
      </c>
      <c r="K79" s="39" t="s">
        <v>354</v>
      </c>
      <c r="L79" s="59" t="s">
        <v>149</v>
      </c>
      <c r="M79" s="38" t="s">
        <v>451</v>
      </c>
      <c r="N79" s="2" t="s">
        <v>373</v>
      </c>
      <c r="O79" t="s">
        <v>20</v>
      </c>
    </row>
    <row r="80" spans="1:15" ht="150" customHeight="1" x14ac:dyDescent="0.25">
      <c r="A80" s="1" t="str">
        <f t="shared" si="2"/>
        <v>TC_PGU_029</v>
      </c>
      <c r="B80" s="6" t="s">
        <v>511</v>
      </c>
      <c r="D80" s="6" t="s">
        <v>512</v>
      </c>
      <c r="E80" s="1" t="s">
        <v>513</v>
      </c>
      <c r="F80" s="1" t="s">
        <v>514</v>
      </c>
      <c r="G80" s="37" t="s">
        <v>515</v>
      </c>
      <c r="H80" s="43" t="s">
        <v>508</v>
      </c>
      <c r="I80" s="37" t="s">
        <v>516</v>
      </c>
      <c r="J80" s="1" t="s">
        <v>517</v>
      </c>
      <c r="K80" s="39" t="s">
        <v>354</v>
      </c>
      <c r="L80" s="59" t="s">
        <v>149</v>
      </c>
      <c r="M80" s="38" t="s">
        <v>451</v>
      </c>
      <c r="N80" s="2" t="s">
        <v>373</v>
      </c>
      <c r="O80" t="s">
        <v>31</v>
      </c>
    </row>
    <row r="81" spans="1:15" ht="150" customHeight="1" x14ac:dyDescent="0.25">
      <c r="A81" s="1" t="str">
        <f t="shared" si="2"/>
        <v>TC_PGU_030</v>
      </c>
      <c r="B81" s="6" t="s">
        <v>511</v>
      </c>
      <c r="D81" s="6" t="s">
        <v>518</v>
      </c>
      <c r="E81" s="1" t="s">
        <v>519</v>
      </c>
      <c r="F81" s="1" t="s">
        <v>520</v>
      </c>
      <c r="G81" s="37" t="s">
        <v>521</v>
      </c>
      <c r="H81" s="43" t="s">
        <v>508</v>
      </c>
      <c r="I81" s="37" t="s">
        <v>522</v>
      </c>
      <c r="J81" s="1" t="s">
        <v>523</v>
      </c>
      <c r="K81" s="39" t="s">
        <v>354</v>
      </c>
      <c r="L81" s="59" t="s">
        <v>149</v>
      </c>
      <c r="M81" s="38" t="s">
        <v>451</v>
      </c>
      <c r="N81" s="2" t="s">
        <v>373</v>
      </c>
      <c r="O81" t="s">
        <v>20</v>
      </c>
    </row>
    <row r="82" spans="1:15" ht="150" customHeight="1" x14ac:dyDescent="0.25">
      <c r="A82" s="1" t="str">
        <f t="shared" si="2"/>
        <v>TC_PGU_031</v>
      </c>
      <c r="B82" s="6" t="s">
        <v>266</v>
      </c>
      <c r="D82" s="6" t="s">
        <v>524</v>
      </c>
      <c r="E82" s="1" t="s">
        <v>525</v>
      </c>
      <c r="F82" s="1" t="s">
        <v>526</v>
      </c>
      <c r="G82" s="37" t="s">
        <v>527</v>
      </c>
      <c r="H82" s="43" t="s">
        <v>508</v>
      </c>
      <c r="I82" s="37" t="s">
        <v>528</v>
      </c>
      <c r="J82" s="1" t="s">
        <v>529</v>
      </c>
      <c r="K82" s="37" t="s">
        <v>530</v>
      </c>
      <c r="L82" s="59" t="s">
        <v>238</v>
      </c>
      <c r="M82" s="38" t="s">
        <v>451</v>
      </c>
      <c r="N82" s="2" t="s">
        <v>373</v>
      </c>
      <c r="O82" t="s">
        <v>31</v>
      </c>
    </row>
    <row r="83" spans="1:15" ht="150" customHeight="1" x14ac:dyDescent="0.25">
      <c r="A83" s="1" t="str">
        <f t="shared" si="2"/>
        <v>TC_PGU_032</v>
      </c>
      <c r="B83" s="6" t="s">
        <v>531</v>
      </c>
      <c r="D83" s="6" t="s">
        <v>532</v>
      </c>
      <c r="E83" s="1" t="s">
        <v>533</v>
      </c>
      <c r="F83" s="1" t="s">
        <v>534</v>
      </c>
      <c r="G83" s="37" t="s">
        <v>535</v>
      </c>
      <c r="H83" s="43" t="s">
        <v>536</v>
      </c>
      <c r="I83" s="37" t="s">
        <v>537</v>
      </c>
      <c r="J83" s="1" t="s">
        <v>538</v>
      </c>
      <c r="K83" s="39" t="s">
        <v>354</v>
      </c>
      <c r="L83" s="59" t="s">
        <v>149</v>
      </c>
      <c r="M83" s="38" t="s">
        <v>451</v>
      </c>
      <c r="N83" s="2" t="s">
        <v>373</v>
      </c>
      <c r="O83" t="s">
        <v>539</v>
      </c>
    </row>
    <row r="84" spans="1:15" ht="150" customHeight="1" x14ac:dyDescent="0.25">
      <c r="A84" s="1" t="str">
        <f t="shared" si="2"/>
        <v>TC_PGU_033</v>
      </c>
      <c r="B84" s="6" t="s">
        <v>540</v>
      </c>
      <c r="D84" s="6" t="s">
        <v>541</v>
      </c>
      <c r="E84" s="1" t="s">
        <v>542</v>
      </c>
      <c r="F84" s="1" t="s">
        <v>543</v>
      </c>
      <c r="G84" s="37" t="s">
        <v>544</v>
      </c>
      <c r="H84" s="43" t="s">
        <v>508</v>
      </c>
      <c r="I84" s="37" t="s">
        <v>545</v>
      </c>
      <c r="J84" s="1" t="s">
        <v>546</v>
      </c>
      <c r="K84" s="39" t="s">
        <v>354</v>
      </c>
      <c r="L84" s="59" t="s">
        <v>149</v>
      </c>
      <c r="M84" s="38" t="s">
        <v>451</v>
      </c>
      <c r="N84" s="2" t="s">
        <v>373</v>
      </c>
      <c r="O84" t="s">
        <v>20</v>
      </c>
    </row>
    <row r="85" spans="1:15" ht="150" customHeight="1" x14ac:dyDescent="0.25">
      <c r="A85" s="1" t="str">
        <f t="shared" si="2"/>
        <v>TC_PGU_034</v>
      </c>
      <c r="B85" s="6" t="s">
        <v>540</v>
      </c>
      <c r="D85" s="6" t="s">
        <v>547</v>
      </c>
      <c r="E85" s="1" t="s">
        <v>548</v>
      </c>
      <c r="F85" s="1" t="s">
        <v>543</v>
      </c>
      <c r="G85" s="37" t="s">
        <v>549</v>
      </c>
      <c r="H85" s="43" t="s">
        <v>508</v>
      </c>
      <c r="I85" s="37" t="s">
        <v>550</v>
      </c>
      <c r="J85" s="1" t="s">
        <v>464</v>
      </c>
      <c r="K85" s="39" t="s">
        <v>354</v>
      </c>
      <c r="L85" s="59" t="s">
        <v>149</v>
      </c>
      <c r="M85" s="38" t="s">
        <v>451</v>
      </c>
      <c r="N85" s="2" t="s">
        <v>373</v>
      </c>
      <c r="O85" t="s">
        <v>31</v>
      </c>
    </row>
    <row r="86" spans="1:15" ht="150" customHeight="1" x14ac:dyDescent="0.25">
      <c r="A86" s="1" t="str">
        <f t="shared" si="2"/>
        <v>TC_PGU_035</v>
      </c>
      <c r="B86" s="6" t="s">
        <v>540</v>
      </c>
      <c r="D86" s="6" t="s">
        <v>551</v>
      </c>
      <c r="E86" s="1" t="s">
        <v>552</v>
      </c>
      <c r="F86" s="1" t="s">
        <v>543</v>
      </c>
      <c r="G86" s="37" t="s">
        <v>544</v>
      </c>
      <c r="H86" s="43" t="s">
        <v>508</v>
      </c>
      <c r="I86" s="37" t="s">
        <v>553</v>
      </c>
      <c r="J86" s="1" t="s">
        <v>464</v>
      </c>
      <c r="K86" s="39" t="s">
        <v>354</v>
      </c>
      <c r="L86" s="59" t="s">
        <v>149</v>
      </c>
      <c r="M86" s="38" t="s">
        <v>451</v>
      </c>
      <c r="N86" s="2" t="s">
        <v>373</v>
      </c>
      <c r="O86" t="s">
        <v>31</v>
      </c>
    </row>
    <row r="87" spans="1:15" ht="150" customHeight="1" x14ac:dyDescent="0.25">
      <c r="A87" s="1" t="str">
        <f t="shared" si="2"/>
        <v>TC_PGU_036</v>
      </c>
      <c r="B87" s="6" t="s">
        <v>554</v>
      </c>
      <c r="D87" s="6" t="s">
        <v>555</v>
      </c>
      <c r="E87" s="1" t="s">
        <v>556</v>
      </c>
      <c r="F87" s="1" t="s">
        <v>557</v>
      </c>
      <c r="G87" s="37" t="s">
        <v>544</v>
      </c>
      <c r="H87" s="43" t="s">
        <v>508</v>
      </c>
      <c r="I87" s="37" t="s">
        <v>558</v>
      </c>
      <c r="J87" s="1" t="s">
        <v>464</v>
      </c>
      <c r="K87" s="39" t="s">
        <v>354</v>
      </c>
      <c r="L87" s="59" t="s">
        <v>149</v>
      </c>
      <c r="M87" s="38" t="s">
        <v>451</v>
      </c>
      <c r="N87" s="2" t="s">
        <v>373</v>
      </c>
      <c r="O87" t="s">
        <v>20</v>
      </c>
    </row>
    <row r="88" spans="1:15" ht="150" customHeight="1" x14ac:dyDescent="0.25">
      <c r="A88" s="1" t="str">
        <f t="shared" si="2"/>
        <v>TC_PGU_037</v>
      </c>
      <c r="B88" s="6" t="s">
        <v>554</v>
      </c>
      <c r="D88" s="6" t="s">
        <v>559</v>
      </c>
      <c r="E88" s="1" t="s">
        <v>560</v>
      </c>
      <c r="F88" s="1" t="s">
        <v>557</v>
      </c>
      <c r="G88" s="37" t="s">
        <v>544</v>
      </c>
      <c r="H88" s="43" t="s">
        <v>508</v>
      </c>
      <c r="I88" s="37" t="s">
        <v>561</v>
      </c>
      <c r="J88" s="1" t="s">
        <v>464</v>
      </c>
      <c r="K88" s="39" t="s">
        <v>354</v>
      </c>
      <c r="L88" s="59" t="s">
        <v>149</v>
      </c>
      <c r="M88" s="38" t="s">
        <v>451</v>
      </c>
      <c r="N88" s="2" t="s">
        <v>373</v>
      </c>
      <c r="O88" t="s">
        <v>31</v>
      </c>
    </row>
    <row r="89" spans="1:15" ht="150" customHeight="1" x14ac:dyDescent="0.25">
      <c r="A89" s="1" t="str">
        <f t="shared" si="2"/>
        <v>TC_PGU_038</v>
      </c>
      <c r="B89" s="6" t="s">
        <v>511</v>
      </c>
      <c r="D89" s="6" t="s">
        <v>562</v>
      </c>
      <c r="E89" s="1" t="s">
        <v>563</v>
      </c>
      <c r="F89" s="1" t="s">
        <v>543</v>
      </c>
      <c r="G89" s="37" t="s">
        <v>564</v>
      </c>
      <c r="H89" s="43" t="s">
        <v>508</v>
      </c>
      <c r="I89" s="37" t="s">
        <v>565</v>
      </c>
      <c r="J89" s="1" t="s">
        <v>566</v>
      </c>
      <c r="K89" s="39" t="s">
        <v>354</v>
      </c>
      <c r="L89" s="59" t="s">
        <v>149</v>
      </c>
      <c r="M89" s="38" t="s">
        <v>451</v>
      </c>
      <c r="N89" s="2" t="s">
        <v>373</v>
      </c>
      <c r="O89" t="s">
        <v>31</v>
      </c>
    </row>
    <row r="90" spans="1:15" ht="150" customHeight="1" x14ac:dyDescent="0.25">
      <c r="A90" s="1" t="str">
        <f t="shared" si="2"/>
        <v>TC_PGU_039</v>
      </c>
      <c r="B90" s="6" t="s">
        <v>567</v>
      </c>
      <c r="D90" s="6" t="s">
        <v>568</v>
      </c>
      <c r="E90" s="1" t="s">
        <v>569</v>
      </c>
      <c r="F90" s="6" t="s">
        <v>543</v>
      </c>
      <c r="G90" s="37" t="s">
        <v>570</v>
      </c>
      <c r="H90" s="43" t="s">
        <v>508</v>
      </c>
      <c r="I90" s="37" t="s">
        <v>571</v>
      </c>
      <c r="J90" s="6" t="s">
        <v>572</v>
      </c>
      <c r="K90" s="39" t="s">
        <v>354</v>
      </c>
      <c r="L90" s="59" t="s">
        <v>149</v>
      </c>
      <c r="M90" s="38" t="s">
        <v>451</v>
      </c>
      <c r="N90" s="2" t="s">
        <v>373</v>
      </c>
      <c r="O90" t="s">
        <v>20</v>
      </c>
    </row>
    <row r="91" spans="1:15" ht="150" customHeight="1" x14ac:dyDescent="0.25">
      <c r="A91" s="1" t="str">
        <f t="shared" si="2"/>
        <v>TC_PGU_040</v>
      </c>
      <c r="B91" s="6" t="s">
        <v>573</v>
      </c>
      <c r="D91" s="6" t="s">
        <v>574</v>
      </c>
      <c r="E91" s="1" t="s">
        <v>575</v>
      </c>
      <c r="F91" s="6" t="s">
        <v>576</v>
      </c>
      <c r="G91" s="37" t="s">
        <v>577</v>
      </c>
      <c r="H91" s="43" t="s">
        <v>508</v>
      </c>
      <c r="I91" s="37" t="s">
        <v>578</v>
      </c>
      <c r="J91" s="6" t="s">
        <v>464</v>
      </c>
      <c r="K91" s="39" t="s">
        <v>354</v>
      </c>
      <c r="L91" s="59" t="s">
        <v>149</v>
      </c>
      <c r="M91" s="38" t="s">
        <v>451</v>
      </c>
      <c r="N91" s="2" t="s">
        <v>373</v>
      </c>
      <c r="O91" t="s">
        <v>20</v>
      </c>
    </row>
    <row r="92" spans="1:15" ht="150" customHeight="1" x14ac:dyDescent="0.25">
      <c r="A92" s="1" t="str">
        <f t="shared" si="2"/>
        <v>TC_PGU_041</v>
      </c>
      <c r="B92" s="6" t="s">
        <v>21</v>
      </c>
      <c r="D92" s="1" t="s">
        <v>579</v>
      </c>
      <c r="E92" s="1" t="s">
        <v>580</v>
      </c>
      <c r="F92" s="1" t="s">
        <v>581</v>
      </c>
      <c r="G92" s="43" t="s">
        <v>582</v>
      </c>
      <c r="H92" s="43" t="s">
        <v>583</v>
      </c>
      <c r="I92" s="37" t="s">
        <v>584</v>
      </c>
      <c r="J92" s="6" t="s">
        <v>585</v>
      </c>
      <c r="K92" s="39" t="s">
        <v>586</v>
      </c>
      <c r="L92" s="59" t="s">
        <v>238</v>
      </c>
      <c r="M92" s="38" t="s">
        <v>451</v>
      </c>
      <c r="N92" s="1" t="s">
        <v>587</v>
      </c>
      <c r="O92" s="6" t="s">
        <v>20</v>
      </c>
    </row>
    <row r="93" spans="1:15" ht="150" customHeight="1" x14ac:dyDescent="0.25">
      <c r="A93" s="1" t="str">
        <f t="shared" si="2"/>
        <v>TC_PGU_042</v>
      </c>
      <c r="B93" s="6" t="s">
        <v>588</v>
      </c>
      <c r="D93" s="6" t="s">
        <v>589</v>
      </c>
      <c r="E93" s="1" t="s">
        <v>590</v>
      </c>
      <c r="F93" s="1" t="s">
        <v>591</v>
      </c>
      <c r="G93" s="5" t="s">
        <v>592</v>
      </c>
      <c r="H93" s="43" t="s">
        <v>583</v>
      </c>
      <c r="I93" s="43" t="s">
        <v>593</v>
      </c>
      <c r="J93" s="6" t="s">
        <v>594</v>
      </c>
      <c r="K93" s="39" t="s">
        <v>354</v>
      </c>
      <c r="L93" s="25" t="s">
        <v>149</v>
      </c>
      <c r="M93" s="38" t="s">
        <v>451</v>
      </c>
      <c r="N93" s="1" t="s">
        <v>587</v>
      </c>
      <c r="O93" s="6" t="s">
        <v>20</v>
      </c>
    </row>
    <row r="94" spans="1:15" ht="150" customHeight="1" x14ac:dyDescent="0.25">
      <c r="A94" s="1" t="str">
        <f t="shared" si="2"/>
        <v>TC_PGU_043</v>
      </c>
      <c r="B94" s="6" t="s">
        <v>442</v>
      </c>
      <c r="D94" s="6" t="s">
        <v>595</v>
      </c>
      <c r="E94" s="1" t="s">
        <v>596</v>
      </c>
      <c r="F94" s="1" t="s">
        <v>597</v>
      </c>
      <c r="G94" s="43" t="s">
        <v>598</v>
      </c>
      <c r="H94" s="43" t="s">
        <v>583</v>
      </c>
      <c r="I94" s="5" t="s">
        <v>599</v>
      </c>
      <c r="J94" s="6" t="s">
        <v>600</v>
      </c>
      <c r="K94" s="39" t="s">
        <v>354</v>
      </c>
      <c r="L94" s="25" t="s">
        <v>149</v>
      </c>
      <c r="M94" s="38" t="s">
        <v>451</v>
      </c>
      <c r="N94" s="1" t="s">
        <v>587</v>
      </c>
      <c r="O94" s="6" t="s">
        <v>20</v>
      </c>
    </row>
    <row r="95" spans="1:15" ht="150" customHeight="1" x14ac:dyDescent="0.25">
      <c r="A95" s="1" t="str">
        <f t="shared" si="2"/>
        <v>TC_PGU_044</v>
      </c>
      <c r="B95" s="6" t="s">
        <v>601</v>
      </c>
      <c r="D95" s="6" t="s">
        <v>602</v>
      </c>
      <c r="E95" s="1" t="s">
        <v>603</v>
      </c>
      <c r="F95" s="1" t="s">
        <v>604</v>
      </c>
      <c r="G95" s="43" t="s">
        <v>605</v>
      </c>
      <c r="H95" s="43" t="s">
        <v>583</v>
      </c>
      <c r="I95" s="43" t="s">
        <v>606</v>
      </c>
      <c r="J95" s="1" t="s">
        <v>607</v>
      </c>
      <c r="K95" s="39" t="s">
        <v>354</v>
      </c>
      <c r="L95" s="25" t="s">
        <v>149</v>
      </c>
      <c r="M95" s="38" t="s">
        <v>451</v>
      </c>
      <c r="N95" s="1" t="s">
        <v>587</v>
      </c>
      <c r="O95" s="6" t="s">
        <v>20</v>
      </c>
    </row>
    <row r="96" spans="1:15" ht="150" customHeight="1" x14ac:dyDescent="0.25">
      <c r="A96" s="1" t="str">
        <f t="shared" si="2"/>
        <v>TC_PGU_045</v>
      </c>
      <c r="B96" s="6" t="s">
        <v>608</v>
      </c>
      <c r="D96" s="1" t="s">
        <v>609</v>
      </c>
      <c r="E96" s="1" t="s">
        <v>610</v>
      </c>
      <c r="F96" s="1" t="s">
        <v>611</v>
      </c>
      <c r="G96" s="43" t="s">
        <v>612</v>
      </c>
      <c r="H96" s="43" t="s">
        <v>583</v>
      </c>
      <c r="I96" s="43" t="s">
        <v>613</v>
      </c>
      <c r="J96" s="6" t="s">
        <v>614</v>
      </c>
      <c r="K96" s="39" t="s">
        <v>615</v>
      </c>
      <c r="L96" s="60" t="s">
        <v>238</v>
      </c>
      <c r="M96" s="38" t="s">
        <v>451</v>
      </c>
      <c r="N96" s="1" t="s">
        <v>587</v>
      </c>
      <c r="O96" s="6" t="s">
        <v>20</v>
      </c>
    </row>
    <row r="97" spans="1:15" ht="150" customHeight="1" x14ac:dyDescent="0.25">
      <c r="A97" s="1" t="str">
        <f t="shared" si="2"/>
        <v>TC_PGU_046</v>
      </c>
      <c r="B97" s="6" t="s">
        <v>616</v>
      </c>
      <c r="C97" s="6"/>
      <c r="D97" s="6" t="s">
        <v>617</v>
      </c>
      <c r="E97" s="6" t="s">
        <v>618</v>
      </c>
      <c r="F97" s="6" t="s">
        <v>619</v>
      </c>
      <c r="G97" s="43" t="s">
        <v>620</v>
      </c>
      <c r="H97" s="43" t="s">
        <v>621</v>
      </c>
      <c r="I97" s="43" t="s">
        <v>622</v>
      </c>
      <c r="J97" s="6" t="s">
        <v>623</v>
      </c>
      <c r="K97" s="6" t="s">
        <v>354</v>
      </c>
      <c r="L97" s="25" t="s">
        <v>149</v>
      </c>
      <c r="M97" s="6" t="s">
        <v>624</v>
      </c>
      <c r="N97" s="1" t="s">
        <v>587</v>
      </c>
      <c r="O97" s="6" t="s">
        <v>31</v>
      </c>
    </row>
    <row r="98" spans="1:15" ht="150" customHeight="1" x14ac:dyDescent="0.25">
      <c r="A98" s="1" t="str">
        <f t="shared" si="2"/>
        <v>TC_PGU_047</v>
      </c>
      <c r="B98" s="6" t="s">
        <v>625</v>
      </c>
      <c r="C98" s="6"/>
      <c r="D98" s="6" t="s">
        <v>626</v>
      </c>
      <c r="E98" s="6" t="s">
        <v>627</v>
      </c>
      <c r="F98" s="6" t="s">
        <v>628</v>
      </c>
      <c r="G98" s="43" t="s">
        <v>629</v>
      </c>
      <c r="H98" s="43" t="s">
        <v>621</v>
      </c>
      <c r="I98" s="43" t="s">
        <v>630</v>
      </c>
      <c r="J98" s="6" t="s">
        <v>631</v>
      </c>
      <c r="K98" s="6" t="s">
        <v>354</v>
      </c>
      <c r="L98" s="25" t="s">
        <v>149</v>
      </c>
      <c r="M98" s="6" t="s">
        <v>624</v>
      </c>
      <c r="N98" s="1" t="s">
        <v>587</v>
      </c>
      <c r="O98" s="6" t="s">
        <v>31</v>
      </c>
    </row>
    <row r="99" spans="1:15" ht="150" customHeight="1" x14ac:dyDescent="0.25">
      <c r="A99" s="1" t="str">
        <f t="shared" si="2"/>
        <v>TC_PGU_048</v>
      </c>
      <c r="B99" s="6" t="s">
        <v>625</v>
      </c>
      <c r="C99" s="6"/>
      <c r="D99" s="6" t="s">
        <v>632</v>
      </c>
      <c r="E99" s="6" t="s">
        <v>633</v>
      </c>
      <c r="F99" s="6" t="s">
        <v>628</v>
      </c>
      <c r="G99" s="43" t="s">
        <v>634</v>
      </c>
      <c r="H99" s="43" t="s">
        <v>621</v>
      </c>
      <c r="I99" s="43" t="s">
        <v>635</v>
      </c>
      <c r="J99" s="6" t="s">
        <v>636</v>
      </c>
      <c r="K99" s="15" t="s">
        <v>637</v>
      </c>
      <c r="L99" s="25" t="s">
        <v>238</v>
      </c>
      <c r="M99" s="6" t="s">
        <v>624</v>
      </c>
      <c r="N99" s="1" t="s">
        <v>587</v>
      </c>
      <c r="O99" s="6" t="s">
        <v>20</v>
      </c>
    </row>
    <row r="100" spans="1:15" ht="150" customHeight="1" x14ac:dyDescent="0.25">
      <c r="A100" s="1" t="str">
        <f t="shared" si="2"/>
        <v>TC_PGU_049</v>
      </c>
      <c r="B100" s="6" t="s">
        <v>625</v>
      </c>
      <c r="C100" s="6"/>
      <c r="D100" s="6" t="s">
        <v>638</v>
      </c>
      <c r="E100" s="6" t="s">
        <v>639</v>
      </c>
      <c r="F100" s="6" t="s">
        <v>628</v>
      </c>
      <c r="G100" s="43" t="s">
        <v>640</v>
      </c>
      <c r="H100" s="43" t="s">
        <v>621</v>
      </c>
      <c r="I100" s="43" t="s">
        <v>641</v>
      </c>
      <c r="J100" s="6" t="s">
        <v>642</v>
      </c>
      <c r="K100" s="6" t="s">
        <v>354</v>
      </c>
      <c r="L100" s="25" t="s">
        <v>149</v>
      </c>
      <c r="M100" s="6" t="s">
        <v>624</v>
      </c>
      <c r="N100" s="1" t="s">
        <v>587</v>
      </c>
      <c r="O100" s="6" t="s">
        <v>643</v>
      </c>
    </row>
    <row r="101" spans="1:15" ht="150" customHeight="1" x14ac:dyDescent="0.25">
      <c r="A101" s="1" t="str">
        <f t="shared" si="2"/>
        <v>TC_PGU_050</v>
      </c>
      <c r="B101" s="6" t="s">
        <v>625</v>
      </c>
      <c r="C101" s="6"/>
      <c r="D101" s="6" t="s">
        <v>644</v>
      </c>
      <c r="E101" s="6" t="s">
        <v>645</v>
      </c>
      <c r="F101" s="6" t="s">
        <v>628</v>
      </c>
      <c r="G101" s="43" t="s">
        <v>646</v>
      </c>
      <c r="H101" s="43" t="s">
        <v>621</v>
      </c>
      <c r="I101" s="43" t="s">
        <v>647</v>
      </c>
      <c r="J101" s="6" t="s">
        <v>648</v>
      </c>
      <c r="K101" s="6" t="s">
        <v>354</v>
      </c>
      <c r="L101" s="25" t="s">
        <v>149</v>
      </c>
      <c r="M101" s="6" t="s">
        <v>624</v>
      </c>
      <c r="N101" s="1" t="s">
        <v>587</v>
      </c>
      <c r="O101" s="6" t="s">
        <v>643</v>
      </c>
    </row>
    <row r="102" spans="1:15" ht="150" customHeight="1" x14ac:dyDescent="0.25">
      <c r="A102" s="1" t="str">
        <f t="shared" si="2"/>
        <v>TC_PGU_051</v>
      </c>
      <c r="B102" s="6" t="s">
        <v>625</v>
      </c>
      <c r="C102" s="6"/>
      <c r="D102" s="6" t="s">
        <v>649</v>
      </c>
      <c r="E102" s="6" t="s">
        <v>650</v>
      </c>
      <c r="F102" s="6" t="s">
        <v>651</v>
      </c>
      <c r="G102" s="43" t="s">
        <v>652</v>
      </c>
      <c r="H102" s="43" t="s">
        <v>621</v>
      </c>
      <c r="I102" s="43" t="s">
        <v>653</v>
      </c>
      <c r="J102" s="6" t="s">
        <v>654</v>
      </c>
      <c r="K102" s="15" t="s">
        <v>655</v>
      </c>
      <c r="L102" s="25" t="s">
        <v>238</v>
      </c>
      <c r="M102" s="6" t="s">
        <v>624</v>
      </c>
      <c r="N102" s="1" t="s">
        <v>587</v>
      </c>
      <c r="O102" s="6" t="s">
        <v>20</v>
      </c>
    </row>
    <row r="103" spans="1:15" ht="150" customHeight="1" x14ac:dyDescent="0.25">
      <c r="A103" s="1" t="str">
        <f t="shared" si="2"/>
        <v>TC_PGU_052</v>
      </c>
      <c r="B103" s="6" t="s">
        <v>656</v>
      </c>
      <c r="C103" s="6"/>
      <c r="D103" s="6" t="s">
        <v>657</v>
      </c>
      <c r="E103" s="6" t="s">
        <v>658</v>
      </c>
      <c r="F103" s="6" t="s">
        <v>628</v>
      </c>
      <c r="G103" s="43" t="s">
        <v>659</v>
      </c>
      <c r="H103" s="43" t="s">
        <v>621</v>
      </c>
      <c r="I103" s="43" t="s">
        <v>660</v>
      </c>
      <c r="J103" s="6" t="s">
        <v>661</v>
      </c>
      <c r="K103" s="15" t="s">
        <v>662</v>
      </c>
      <c r="L103" s="25" t="s">
        <v>238</v>
      </c>
      <c r="M103" s="6" t="s">
        <v>624</v>
      </c>
      <c r="N103" s="1" t="s">
        <v>587</v>
      </c>
      <c r="O103" s="6" t="s">
        <v>20</v>
      </c>
    </row>
    <row r="104" spans="1:15" ht="150" customHeight="1" x14ac:dyDescent="0.25">
      <c r="A104" s="1" t="str">
        <f t="shared" si="2"/>
        <v>TC_PGU_053</v>
      </c>
      <c r="B104" s="6" t="s">
        <v>663</v>
      </c>
      <c r="C104" s="6"/>
      <c r="D104" s="6" t="s">
        <v>664</v>
      </c>
      <c r="E104" s="6" t="s">
        <v>665</v>
      </c>
      <c r="F104" s="6" t="s">
        <v>666</v>
      </c>
      <c r="G104" s="43" t="s">
        <v>667</v>
      </c>
      <c r="H104" s="43" t="s">
        <v>621</v>
      </c>
      <c r="I104" s="43" t="s">
        <v>668</v>
      </c>
      <c r="J104" s="6" t="s">
        <v>669</v>
      </c>
      <c r="K104" s="6" t="s">
        <v>354</v>
      </c>
      <c r="L104" s="25" t="s">
        <v>149</v>
      </c>
      <c r="M104" s="6" t="s">
        <v>624</v>
      </c>
      <c r="N104" s="1" t="s">
        <v>587</v>
      </c>
      <c r="O104" s="6" t="s">
        <v>31</v>
      </c>
    </row>
    <row r="105" spans="1:15" ht="150" customHeight="1" x14ac:dyDescent="0.25">
      <c r="A105" s="1" t="str">
        <f t="shared" si="2"/>
        <v>TC_PGU_054</v>
      </c>
      <c r="B105" s="6" t="s">
        <v>670</v>
      </c>
      <c r="C105" s="6"/>
      <c r="D105" s="6" t="s">
        <v>671</v>
      </c>
      <c r="E105" s="6" t="s">
        <v>672</v>
      </c>
      <c r="F105" s="6" t="s">
        <v>673</v>
      </c>
      <c r="G105" s="43" t="s">
        <v>674</v>
      </c>
      <c r="H105" s="43" t="s">
        <v>508</v>
      </c>
      <c r="I105" s="43" t="s">
        <v>675</v>
      </c>
      <c r="J105" s="6" t="s">
        <v>669</v>
      </c>
      <c r="K105" s="6" t="s">
        <v>354</v>
      </c>
      <c r="L105" s="25" t="s">
        <v>149</v>
      </c>
      <c r="M105" s="6" t="s">
        <v>624</v>
      </c>
      <c r="N105" s="1" t="s">
        <v>587</v>
      </c>
      <c r="O105" s="6" t="s">
        <v>31</v>
      </c>
    </row>
    <row r="106" spans="1:15" ht="150" customHeight="1" x14ac:dyDescent="0.25">
      <c r="A106" s="1" t="str">
        <f t="shared" si="2"/>
        <v>TC_PGU_055</v>
      </c>
      <c r="B106" s="6" t="s">
        <v>670</v>
      </c>
      <c r="C106" s="6"/>
      <c r="D106" s="6" t="s">
        <v>676</v>
      </c>
      <c r="E106" s="6" t="s">
        <v>677</v>
      </c>
      <c r="F106" s="6" t="s">
        <v>678</v>
      </c>
      <c r="G106" s="43" t="s">
        <v>679</v>
      </c>
      <c r="H106" s="43" t="s">
        <v>621</v>
      </c>
      <c r="I106" s="43" t="s">
        <v>680</v>
      </c>
      <c r="J106" s="6" t="s">
        <v>266</v>
      </c>
      <c r="K106" s="15" t="s">
        <v>681</v>
      </c>
      <c r="L106" s="25" t="s">
        <v>238</v>
      </c>
      <c r="M106" s="6" t="s">
        <v>624</v>
      </c>
      <c r="N106" s="1" t="s">
        <v>587</v>
      </c>
      <c r="O106" s="6" t="s">
        <v>20</v>
      </c>
    </row>
    <row r="107" spans="1:15" ht="150" customHeight="1" x14ac:dyDescent="0.25">
      <c r="A107" s="1" t="str">
        <f t="shared" si="2"/>
        <v>TC_PGU_056</v>
      </c>
      <c r="B107" s="6" t="s">
        <v>682</v>
      </c>
      <c r="C107" s="6"/>
      <c r="D107" s="6" t="s">
        <v>683</v>
      </c>
      <c r="E107" s="6" t="s">
        <v>684</v>
      </c>
      <c r="F107" s="6" t="s">
        <v>685</v>
      </c>
      <c r="G107" s="43" t="s">
        <v>686</v>
      </c>
      <c r="H107" s="43" t="s">
        <v>508</v>
      </c>
      <c r="I107" s="43" t="s">
        <v>687</v>
      </c>
      <c r="J107" s="6" t="s">
        <v>688</v>
      </c>
      <c r="K107" s="6" t="s">
        <v>354</v>
      </c>
      <c r="L107" s="25" t="s">
        <v>149</v>
      </c>
      <c r="M107" s="6" t="s">
        <v>624</v>
      </c>
      <c r="N107" s="1" t="s">
        <v>587</v>
      </c>
      <c r="O107" s="6" t="s">
        <v>31</v>
      </c>
    </row>
    <row r="108" spans="1:15" ht="150" customHeight="1" x14ac:dyDescent="0.25">
      <c r="A108" s="1" t="str">
        <f t="shared" si="2"/>
        <v>TC_PGU_057</v>
      </c>
      <c r="B108" s="6" t="s">
        <v>689</v>
      </c>
      <c r="C108" s="6"/>
      <c r="D108" s="6" t="s">
        <v>690</v>
      </c>
      <c r="E108" s="6" t="s">
        <v>691</v>
      </c>
      <c r="F108" s="6" t="s">
        <v>692</v>
      </c>
      <c r="G108" s="43" t="s">
        <v>693</v>
      </c>
      <c r="H108" s="43" t="s">
        <v>508</v>
      </c>
      <c r="I108" s="43" t="s">
        <v>694</v>
      </c>
      <c r="J108" s="6" t="s">
        <v>266</v>
      </c>
      <c r="K108" s="15" t="s">
        <v>695</v>
      </c>
      <c r="L108" s="25" t="s">
        <v>238</v>
      </c>
      <c r="M108" s="6" t="s">
        <v>624</v>
      </c>
      <c r="N108" s="1" t="s">
        <v>587</v>
      </c>
      <c r="O108" s="6" t="s">
        <v>20</v>
      </c>
    </row>
    <row r="109" spans="1:15" ht="150" customHeight="1" x14ac:dyDescent="0.25">
      <c r="A109" s="1" t="str">
        <f t="shared" si="2"/>
        <v>TC_PGU_058</v>
      </c>
      <c r="B109" s="6" t="s">
        <v>696</v>
      </c>
      <c r="C109" s="5"/>
      <c r="D109" s="6" t="s">
        <v>697</v>
      </c>
      <c r="E109" s="1" t="s">
        <v>698</v>
      </c>
      <c r="F109" s="1" t="s">
        <v>699</v>
      </c>
      <c r="G109" s="5" t="s">
        <v>700</v>
      </c>
      <c r="H109" s="43" t="s">
        <v>621</v>
      </c>
      <c r="I109" s="43" t="s">
        <v>701</v>
      </c>
      <c r="K109" s="15" t="s">
        <v>702</v>
      </c>
      <c r="L109" s="25" t="s">
        <v>238</v>
      </c>
      <c r="M109" s="6" t="s">
        <v>624</v>
      </c>
      <c r="N109" s="1" t="s">
        <v>587</v>
      </c>
      <c r="O109" s="6" t="s">
        <v>20</v>
      </c>
    </row>
    <row r="110" spans="1:15" ht="46.15" customHeight="1" x14ac:dyDescent="0.25">
      <c r="A110" s="114" t="s">
        <v>703</v>
      </c>
      <c r="B110" s="114"/>
      <c r="C110" s="114"/>
      <c r="D110" s="114"/>
      <c r="E110" s="114"/>
      <c r="F110" s="114"/>
      <c r="G110" s="114"/>
      <c r="H110" s="114"/>
      <c r="I110" s="114"/>
      <c r="J110" s="114"/>
      <c r="K110" s="114"/>
      <c r="L110" s="114"/>
      <c r="M110" s="114"/>
      <c r="N110" s="114"/>
      <c r="O110" s="114"/>
    </row>
    <row r="111" spans="1:15" ht="150" customHeight="1" x14ac:dyDescent="0.25">
      <c r="A111" s="63" t="str">
        <f>"TC_EU_" &amp; TEXT(ROW(A1), "000")</f>
        <v>TC_EU_001</v>
      </c>
      <c r="B111" s="113" t="s">
        <v>21</v>
      </c>
      <c r="C111" s="64"/>
      <c r="D111" s="63" t="s">
        <v>704</v>
      </c>
      <c r="E111" s="63" t="s">
        <v>705</v>
      </c>
      <c r="F111" s="63" t="s">
        <v>706</v>
      </c>
      <c r="G111" s="63" t="s">
        <v>707</v>
      </c>
      <c r="H111" s="63"/>
      <c r="I111" s="63" t="s">
        <v>708</v>
      </c>
      <c r="J111" s="63" t="s">
        <v>709</v>
      </c>
      <c r="K111" s="63" t="s">
        <v>710</v>
      </c>
      <c r="L111" s="89" t="s">
        <v>149</v>
      </c>
      <c r="M111" s="63" t="s">
        <v>711</v>
      </c>
      <c r="N111" s="63" t="s">
        <v>151</v>
      </c>
      <c r="O111" s="66" t="s">
        <v>20</v>
      </c>
    </row>
    <row r="112" spans="1:15" ht="150" customHeight="1" x14ac:dyDescent="0.25">
      <c r="A112" s="63" t="str">
        <f t="shared" ref="A112:A141" si="3">"TC_EU_" &amp; TEXT(ROW(A2), "000")</f>
        <v>TC_EU_002</v>
      </c>
      <c r="B112" s="113"/>
      <c r="C112" s="64"/>
      <c r="D112" s="63" t="s">
        <v>712</v>
      </c>
      <c r="E112" s="63" t="s">
        <v>713</v>
      </c>
      <c r="F112" s="63" t="s">
        <v>706</v>
      </c>
      <c r="G112" s="63" t="s">
        <v>714</v>
      </c>
      <c r="H112" s="63" t="s">
        <v>715</v>
      </c>
      <c r="I112" s="63" t="s">
        <v>716</v>
      </c>
      <c r="J112" s="63" t="s">
        <v>709</v>
      </c>
      <c r="K112" s="63" t="s">
        <v>717</v>
      </c>
      <c r="L112" s="89" t="s">
        <v>149</v>
      </c>
      <c r="M112" s="63" t="s">
        <v>711</v>
      </c>
      <c r="N112" s="63" t="s">
        <v>151</v>
      </c>
      <c r="O112" s="66" t="s">
        <v>20</v>
      </c>
    </row>
    <row r="113" spans="1:15" ht="150" customHeight="1" x14ac:dyDescent="0.25">
      <c r="A113" s="63" t="str">
        <f t="shared" si="3"/>
        <v>TC_EU_003</v>
      </c>
      <c r="B113" s="113"/>
      <c r="C113" s="64"/>
      <c r="D113" s="63" t="s">
        <v>718</v>
      </c>
      <c r="E113" s="63" t="s">
        <v>719</v>
      </c>
      <c r="F113" s="63" t="s">
        <v>706</v>
      </c>
      <c r="G113" s="63" t="s">
        <v>720</v>
      </c>
      <c r="H113" s="63" t="s">
        <v>721</v>
      </c>
      <c r="I113" s="63" t="s">
        <v>722</v>
      </c>
      <c r="J113" s="63" t="s">
        <v>709</v>
      </c>
      <c r="K113" s="63" t="s">
        <v>723</v>
      </c>
      <c r="L113" s="89" t="s">
        <v>149</v>
      </c>
      <c r="M113" s="63" t="s">
        <v>711</v>
      </c>
      <c r="N113" s="63" t="s">
        <v>151</v>
      </c>
      <c r="O113" s="66" t="s">
        <v>20</v>
      </c>
    </row>
    <row r="114" spans="1:15" ht="150" customHeight="1" x14ac:dyDescent="0.25">
      <c r="A114" s="63" t="str">
        <f t="shared" si="3"/>
        <v>TC_EU_004</v>
      </c>
      <c r="B114" s="113"/>
      <c r="C114" s="67"/>
      <c r="D114" s="63" t="s">
        <v>724</v>
      </c>
      <c r="E114" s="63" t="s">
        <v>725</v>
      </c>
      <c r="F114" s="63" t="s">
        <v>706</v>
      </c>
      <c r="G114" s="63" t="s">
        <v>726</v>
      </c>
      <c r="H114" s="63" t="s">
        <v>727</v>
      </c>
      <c r="I114" s="63" t="s">
        <v>728</v>
      </c>
      <c r="J114" s="63" t="s">
        <v>709</v>
      </c>
      <c r="K114" s="63" t="s">
        <v>729</v>
      </c>
      <c r="L114" s="89" t="s">
        <v>149</v>
      </c>
      <c r="M114" s="63" t="s">
        <v>711</v>
      </c>
      <c r="N114" s="63" t="s">
        <v>151</v>
      </c>
      <c r="O114" s="66" t="s">
        <v>20</v>
      </c>
    </row>
    <row r="115" spans="1:15" ht="150" customHeight="1" x14ac:dyDescent="0.25">
      <c r="A115" s="63" t="str">
        <f t="shared" si="3"/>
        <v>TC_EU_005</v>
      </c>
      <c r="B115" s="113"/>
      <c r="C115" s="67"/>
      <c r="D115" s="63" t="s">
        <v>730</v>
      </c>
      <c r="E115" s="63" t="s">
        <v>731</v>
      </c>
      <c r="F115" s="63" t="s">
        <v>732</v>
      </c>
      <c r="G115" s="63" t="s">
        <v>733</v>
      </c>
      <c r="H115" s="63" t="s">
        <v>734</v>
      </c>
      <c r="I115" s="63" t="s">
        <v>735</v>
      </c>
      <c r="J115" s="63" t="s">
        <v>736</v>
      </c>
      <c r="K115" s="63" t="s">
        <v>737</v>
      </c>
      <c r="L115" s="89" t="s">
        <v>149</v>
      </c>
      <c r="M115" s="63" t="s">
        <v>711</v>
      </c>
      <c r="N115" s="63" t="s">
        <v>151</v>
      </c>
      <c r="O115" s="66" t="s">
        <v>20</v>
      </c>
    </row>
    <row r="116" spans="1:15" ht="150" customHeight="1" x14ac:dyDescent="0.25">
      <c r="A116" s="63" t="str">
        <f t="shared" si="3"/>
        <v>TC_EU_006</v>
      </c>
      <c r="B116" s="112" t="s">
        <v>738</v>
      </c>
      <c r="C116" s="64"/>
      <c r="D116" s="63" t="s">
        <v>739</v>
      </c>
      <c r="E116" s="63" t="s">
        <v>740</v>
      </c>
      <c r="F116" s="63" t="s">
        <v>741</v>
      </c>
      <c r="G116" s="63" t="s">
        <v>742</v>
      </c>
      <c r="H116" s="63" t="s">
        <v>734</v>
      </c>
      <c r="I116" s="63" t="s">
        <v>743</v>
      </c>
      <c r="J116" s="63" t="s">
        <v>744</v>
      </c>
      <c r="K116" s="63" t="s">
        <v>745</v>
      </c>
      <c r="L116" s="65" t="s">
        <v>149</v>
      </c>
      <c r="M116" s="63" t="s">
        <v>711</v>
      </c>
      <c r="N116" s="63" t="s">
        <v>151</v>
      </c>
      <c r="O116" s="66" t="s">
        <v>20</v>
      </c>
    </row>
    <row r="117" spans="1:15" ht="150" customHeight="1" x14ac:dyDescent="0.25">
      <c r="A117" s="63" t="str">
        <f t="shared" si="3"/>
        <v>TC_EU_007</v>
      </c>
      <c r="B117" s="112"/>
      <c r="C117" s="64"/>
      <c r="D117" s="63" t="s">
        <v>746</v>
      </c>
      <c r="E117" s="63" t="s">
        <v>747</v>
      </c>
      <c r="F117" s="63" t="s">
        <v>741</v>
      </c>
      <c r="G117" s="63" t="s">
        <v>748</v>
      </c>
      <c r="H117" s="63" t="s">
        <v>734</v>
      </c>
      <c r="I117" s="63" t="s">
        <v>749</v>
      </c>
      <c r="J117" s="63" t="s">
        <v>750</v>
      </c>
      <c r="K117" s="63" t="s">
        <v>751</v>
      </c>
      <c r="L117" s="65" t="s">
        <v>149</v>
      </c>
      <c r="M117" s="63" t="s">
        <v>711</v>
      </c>
      <c r="N117" s="63" t="s">
        <v>151</v>
      </c>
      <c r="O117" s="66" t="s">
        <v>20</v>
      </c>
    </row>
    <row r="118" spans="1:15" ht="150" customHeight="1" x14ac:dyDescent="0.25">
      <c r="A118" s="63" t="str">
        <f t="shared" si="3"/>
        <v>TC_EU_008</v>
      </c>
      <c r="B118" s="112"/>
      <c r="C118" s="64"/>
      <c r="D118" s="63" t="s">
        <v>752</v>
      </c>
      <c r="E118" s="63" t="s">
        <v>753</v>
      </c>
      <c r="F118" s="63" t="s">
        <v>741</v>
      </c>
      <c r="G118" s="63" t="s">
        <v>754</v>
      </c>
      <c r="H118" s="63" t="s">
        <v>734</v>
      </c>
      <c r="I118" s="63" t="s">
        <v>755</v>
      </c>
      <c r="J118" s="63" t="s">
        <v>756</v>
      </c>
      <c r="K118" s="63" t="s">
        <v>757</v>
      </c>
      <c r="L118" s="65" t="s">
        <v>149</v>
      </c>
      <c r="M118" s="63" t="s">
        <v>711</v>
      </c>
      <c r="N118" s="63" t="s">
        <v>151</v>
      </c>
      <c r="O118" s="66" t="s">
        <v>20</v>
      </c>
    </row>
    <row r="119" spans="1:15" ht="150" customHeight="1" x14ac:dyDescent="0.25">
      <c r="A119" s="63" t="str">
        <f t="shared" si="3"/>
        <v>TC_EU_009</v>
      </c>
      <c r="B119" s="112"/>
      <c r="C119" s="64"/>
      <c r="D119" s="63" t="s">
        <v>758</v>
      </c>
      <c r="E119" s="63" t="s">
        <v>759</v>
      </c>
      <c r="F119" s="63" t="s">
        <v>741</v>
      </c>
      <c r="G119" s="63" t="s">
        <v>760</v>
      </c>
      <c r="H119" s="63" t="s">
        <v>734</v>
      </c>
      <c r="I119" s="63" t="s">
        <v>761</v>
      </c>
      <c r="J119" s="63" t="s">
        <v>762</v>
      </c>
      <c r="K119" s="63" t="s">
        <v>763</v>
      </c>
      <c r="L119" s="65" t="s">
        <v>149</v>
      </c>
      <c r="M119" s="63" t="s">
        <v>711</v>
      </c>
      <c r="N119" s="63" t="s">
        <v>151</v>
      </c>
      <c r="O119" s="66" t="s">
        <v>20</v>
      </c>
    </row>
    <row r="120" spans="1:15" ht="150" customHeight="1" x14ac:dyDescent="0.25">
      <c r="A120" s="63" t="str">
        <f t="shared" si="3"/>
        <v>TC_EU_010</v>
      </c>
      <c r="B120" s="112"/>
      <c r="C120" s="64"/>
      <c r="D120" s="63" t="s">
        <v>764</v>
      </c>
      <c r="E120" s="63" t="s">
        <v>765</v>
      </c>
      <c r="F120" s="63" t="s">
        <v>766</v>
      </c>
      <c r="G120" s="63" t="s">
        <v>767</v>
      </c>
      <c r="H120" s="63" t="s">
        <v>734</v>
      </c>
      <c r="I120" s="63" t="s">
        <v>768</v>
      </c>
      <c r="J120" s="63" t="s">
        <v>769</v>
      </c>
      <c r="K120" s="63" t="s">
        <v>770</v>
      </c>
      <c r="L120" s="68" t="s">
        <v>238</v>
      </c>
      <c r="M120" s="63" t="s">
        <v>711</v>
      </c>
      <c r="N120" s="63" t="s">
        <v>151</v>
      </c>
      <c r="O120" s="66" t="s">
        <v>20</v>
      </c>
    </row>
    <row r="121" spans="1:15" ht="150" customHeight="1" x14ac:dyDescent="0.25">
      <c r="A121" s="63" t="str">
        <f t="shared" si="3"/>
        <v>TC_EU_011</v>
      </c>
      <c r="B121" s="69" t="s">
        <v>28</v>
      </c>
      <c r="C121" s="64"/>
      <c r="D121" s="63" t="s">
        <v>771</v>
      </c>
      <c r="E121" s="63" t="s">
        <v>772</v>
      </c>
      <c r="F121" s="63" t="s">
        <v>741</v>
      </c>
      <c r="G121" s="63" t="s">
        <v>773</v>
      </c>
      <c r="H121" s="63" t="s">
        <v>734</v>
      </c>
      <c r="I121" s="63" t="s">
        <v>774</v>
      </c>
      <c r="J121" s="63" t="s">
        <v>775</v>
      </c>
      <c r="K121" s="63" t="s">
        <v>776</v>
      </c>
      <c r="L121" s="65" t="s">
        <v>149</v>
      </c>
      <c r="M121" s="63" t="s">
        <v>711</v>
      </c>
      <c r="N121" s="63" t="s">
        <v>151</v>
      </c>
      <c r="O121" s="66" t="s">
        <v>20</v>
      </c>
    </row>
    <row r="122" spans="1:15" ht="150" customHeight="1" x14ac:dyDescent="0.25">
      <c r="A122" s="63" t="str">
        <f t="shared" si="3"/>
        <v>TC_EU_012</v>
      </c>
      <c r="B122" s="70" t="s">
        <v>777</v>
      </c>
      <c r="C122" s="64"/>
      <c r="D122" s="63" t="s">
        <v>778</v>
      </c>
      <c r="E122" s="63" t="s">
        <v>779</v>
      </c>
      <c r="F122" s="63" t="s">
        <v>741</v>
      </c>
      <c r="G122" s="63" t="s">
        <v>780</v>
      </c>
      <c r="H122" s="63" t="s">
        <v>734</v>
      </c>
      <c r="I122" s="63" t="s">
        <v>781</v>
      </c>
      <c r="J122" s="63" t="s">
        <v>782</v>
      </c>
      <c r="K122" s="63" t="s">
        <v>783</v>
      </c>
      <c r="L122" s="68" t="s">
        <v>238</v>
      </c>
      <c r="M122" s="63" t="s">
        <v>711</v>
      </c>
      <c r="N122" s="63" t="s">
        <v>151</v>
      </c>
      <c r="O122" s="63" t="s">
        <v>31</v>
      </c>
    </row>
    <row r="123" spans="1:15" ht="150" customHeight="1" x14ac:dyDescent="0.25">
      <c r="A123" s="63" t="str">
        <f t="shared" si="3"/>
        <v>TC_EU_013</v>
      </c>
      <c r="B123" s="111" t="s">
        <v>784</v>
      </c>
      <c r="C123" s="63"/>
      <c r="D123" s="63" t="s">
        <v>785</v>
      </c>
      <c r="E123" s="63" t="s">
        <v>786</v>
      </c>
      <c r="F123" s="63" t="s">
        <v>741</v>
      </c>
      <c r="G123" s="63" t="s">
        <v>787</v>
      </c>
      <c r="H123" s="63" t="s">
        <v>734</v>
      </c>
      <c r="I123" s="63" t="s">
        <v>788</v>
      </c>
      <c r="J123" s="63" t="s">
        <v>789</v>
      </c>
      <c r="K123" s="63" t="s">
        <v>790</v>
      </c>
      <c r="L123" s="68" t="s">
        <v>238</v>
      </c>
      <c r="M123" s="63" t="s">
        <v>711</v>
      </c>
      <c r="N123" s="63" t="s">
        <v>151</v>
      </c>
      <c r="O123" s="66" t="s">
        <v>20</v>
      </c>
    </row>
    <row r="124" spans="1:15" ht="150" customHeight="1" x14ac:dyDescent="0.25">
      <c r="A124" s="63" t="str">
        <f t="shared" si="3"/>
        <v>TC_EU_014</v>
      </c>
      <c r="B124" s="111"/>
      <c r="C124" s="63"/>
      <c r="D124" s="63" t="s">
        <v>791</v>
      </c>
      <c r="E124" s="63" t="s">
        <v>792</v>
      </c>
      <c r="F124" s="63" t="s">
        <v>741</v>
      </c>
      <c r="G124" s="63" t="s">
        <v>793</v>
      </c>
      <c r="H124" s="63" t="s">
        <v>734</v>
      </c>
      <c r="I124" s="63" t="s">
        <v>794</v>
      </c>
      <c r="J124" s="63" t="s">
        <v>795</v>
      </c>
      <c r="K124" s="63" t="s">
        <v>796</v>
      </c>
      <c r="L124" s="68" t="s">
        <v>238</v>
      </c>
      <c r="M124" s="63" t="s">
        <v>711</v>
      </c>
      <c r="N124" s="63" t="s">
        <v>151</v>
      </c>
      <c r="O124" s="66" t="s">
        <v>20</v>
      </c>
    </row>
    <row r="125" spans="1:15" ht="150" customHeight="1" x14ac:dyDescent="0.25">
      <c r="A125" s="63" t="str">
        <f t="shared" si="3"/>
        <v>TC_EU_015</v>
      </c>
      <c r="B125" s="111"/>
      <c r="C125" s="63"/>
      <c r="D125" s="63" t="s">
        <v>797</v>
      </c>
      <c r="E125" s="63" t="s">
        <v>798</v>
      </c>
      <c r="F125" s="63" t="s">
        <v>741</v>
      </c>
      <c r="G125" s="63" t="s">
        <v>799</v>
      </c>
      <c r="H125" s="63" t="s">
        <v>734</v>
      </c>
      <c r="I125" s="63" t="s">
        <v>788</v>
      </c>
      <c r="J125" s="63" t="s">
        <v>800</v>
      </c>
      <c r="K125" s="63" t="s">
        <v>790</v>
      </c>
      <c r="L125" s="68" t="s">
        <v>238</v>
      </c>
      <c r="M125" s="63" t="s">
        <v>711</v>
      </c>
      <c r="N125" s="63" t="s">
        <v>151</v>
      </c>
      <c r="O125" s="66" t="s">
        <v>20</v>
      </c>
    </row>
    <row r="126" spans="1:15" ht="150" customHeight="1" x14ac:dyDescent="0.25">
      <c r="A126" s="63" t="str">
        <f t="shared" si="3"/>
        <v>TC_EU_016</v>
      </c>
      <c r="B126" s="111"/>
      <c r="C126" s="63"/>
      <c r="D126" s="63" t="s">
        <v>801</v>
      </c>
      <c r="E126" s="63" t="s">
        <v>802</v>
      </c>
      <c r="F126" s="63" t="s">
        <v>741</v>
      </c>
      <c r="G126" s="63" t="s">
        <v>803</v>
      </c>
      <c r="H126" s="63" t="s">
        <v>734</v>
      </c>
      <c r="I126" s="63" t="s">
        <v>794</v>
      </c>
      <c r="J126" s="63" t="s">
        <v>804</v>
      </c>
      <c r="K126" s="63" t="s">
        <v>805</v>
      </c>
      <c r="L126" s="68" t="s">
        <v>238</v>
      </c>
      <c r="M126" s="63" t="s">
        <v>711</v>
      </c>
      <c r="N126" s="63" t="s">
        <v>151</v>
      </c>
      <c r="O126" s="66" t="s">
        <v>20</v>
      </c>
    </row>
    <row r="127" spans="1:15" ht="150" customHeight="1" x14ac:dyDescent="0.25">
      <c r="A127" s="63" t="str">
        <f t="shared" si="3"/>
        <v>TC_EU_017</v>
      </c>
      <c r="B127" s="71" t="s">
        <v>784</v>
      </c>
      <c r="C127" s="63"/>
      <c r="D127" s="63" t="s">
        <v>806</v>
      </c>
      <c r="E127" s="63" t="s">
        <v>807</v>
      </c>
      <c r="F127" s="63" t="s">
        <v>741</v>
      </c>
      <c r="G127" s="63" t="s">
        <v>808</v>
      </c>
      <c r="H127" s="63" t="s">
        <v>809</v>
      </c>
      <c r="I127" s="63" t="s">
        <v>810</v>
      </c>
      <c r="J127" s="63" t="s">
        <v>811</v>
      </c>
      <c r="K127" s="63" t="s">
        <v>812</v>
      </c>
      <c r="L127" s="65" t="s">
        <v>149</v>
      </c>
      <c r="M127" s="63" t="s">
        <v>711</v>
      </c>
      <c r="N127" s="63" t="s">
        <v>151</v>
      </c>
      <c r="O127" s="66" t="s">
        <v>20</v>
      </c>
    </row>
    <row r="128" spans="1:15" ht="150" customHeight="1" x14ac:dyDescent="0.25">
      <c r="A128" s="63" t="str">
        <f t="shared" si="3"/>
        <v>TC_EU_018</v>
      </c>
      <c r="B128" s="109" t="s">
        <v>42</v>
      </c>
      <c r="C128" s="63"/>
      <c r="D128" s="63" t="s">
        <v>813</v>
      </c>
      <c r="E128" s="63" t="s">
        <v>814</v>
      </c>
      <c r="F128" s="63" t="s">
        <v>741</v>
      </c>
      <c r="G128" s="63" t="s">
        <v>815</v>
      </c>
      <c r="H128" s="63" t="s">
        <v>809</v>
      </c>
      <c r="I128" s="63" t="s">
        <v>816</v>
      </c>
      <c r="J128" s="63" t="s">
        <v>817</v>
      </c>
      <c r="K128" s="63" t="s">
        <v>818</v>
      </c>
      <c r="L128" s="65" t="s">
        <v>149</v>
      </c>
      <c r="M128" s="63" t="s">
        <v>711</v>
      </c>
      <c r="N128" s="63" t="s">
        <v>151</v>
      </c>
      <c r="O128" s="66" t="s">
        <v>20</v>
      </c>
    </row>
    <row r="129" spans="1:15" ht="150" customHeight="1" x14ac:dyDescent="0.25">
      <c r="A129" s="63" t="str">
        <f t="shared" si="3"/>
        <v>TC_EU_019</v>
      </c>
      <c r="B129" s="109"/>
      <c r="C129" s="63"/>
      <c r="D129" s="63" t="s">
        <v>819</v>
      </c>
      <c r="E129" s="63" t="s">
        <v>820</v>
      </c>
      <c r="F129" s="63" t="s">
        <v>821</v>
      </c>
      <c r="G129" s="63" t="s">
        <v>822</v>
      </c>
      <c r="H129" s="63" t="s">
        <v>823</v>
      </c>
      <c r="I129" s="63" t="s">
        <v>824</v>
      </c>
      <c r="J129" s="63" t="s">
        <v>825</v>
      </c>
      <c r="K129" s="63" t="s">
        <v>826</v>
      </c>
      <c r="L129" s="65" t="s">
        <v>149</v>
      </c>
      <c r="M129" s="63" t="s">
        <v>711</v>
      </c>
      <c r="N129" s="63" t="s">
        <v>151</v>
      </c>
      <c r="O129" s="66" t="s">
        <v>20</v>
      </c>
    </row>
    <row r="130" spans="1:15" ht="150" customHeight="1" x14ac:dyDescent="0.25">
      <c r="A130" s="63" t="str">
        <f t="shared" si="3"/>
        <v>TC_EU_020</v>
      </c>
      <c r="B130" s="109"/>
      <c r="C130" s="63"/>
      <c r="D130" s="63" t="s">
        <v>827</v>
      </c>
      <c r="E130" s="63" t="s">
        <v>828</v>
      </c>
      <c r="F130" s="63" t="s">
        <v>821</v>
      </c>
      <c r="G130" s="63" t="s">
        <v>829</v>
      </c>
      <c r="H130" s="63" t="s">
        <v>830</v>
      </c>
      <c r="I130" s="63" t="s">
        <v>831</v>
      </c>
      <c r="J130" s="63" t="s">
        <v>832</v>
      </c>
      <c r="K130" s="63" t="s">
        <v>833</v>
      </c>
      <c r="L130" s="68" t="s">
        <v>238</v>
      </c>
      <c r="M130" s="63" t="s">
        <v>711</v>
      </c>
      <c r="N130" s="63" t="s">
        <v>151</v>
      </c>
      <c r="O130" s="66" t="s">
        <v>20</v>
      </c>
    </row>
    <row r="131" spans="1:15" ht="150" customHeight="1" x14ac:dyDescent="0.25">
      <c r="A131" s="63" t="str">
        <f t="shared" si="3"/>
        <v>TC_EU_021</v>
      </c>
      <c r="B131" s="109"/>
      <c r="C131" s="63"/>
      <c r="D131" s="63" t="s">
        <v>834</v>
      </c>
      <c r="E131" s="63" t="s">
        <v>835</v>
      </c>
      <c r="F131" s="63" t="s">
        <v>821</v>
      </c>
      <c r="G131" s="63" t="s">
        <v>836</v>
      </c>
      <c r="H131" s="63" t="s">
        <v>830</v>
      </c>
      <c r="I131" s="63" t="s">
        <v>837</v>
      </c>
      <c r="J131" s="63" t="s">
        <v>838</v>
      </c>
      <c r="K131" s="63" t="s">
        <v>839</v>
      </c>
      <c r="L131" s="65" t="s">
        <v>149</v>
      </c>
      <c r="M131" s="63" t="s">
        <v>711</v>
      </c>
      <c r="N131" s="63" t="s">
        <v>151</v>
      </c>
      <c r="O131" s="66" t="s">
        <v>20</v>
      </c>
    </row>
    <row r="132" spans="1:15" ht="150" customHeight="1" x14ac:dyDescent="0.25">
      <c r="A132" s="63" t="str">
        <f t="shared" si="3"/>
        <v>TC_EU_022</v>
      </c>
      <c r="B132" s="110" t="s">
        <v>51</v>
      </c>
      <c r="C132" s="63"/>
      <c r="D132" s="63" t="s">
        <v>840</v>
      </c>
      <c r="E132" s="63" t="s">
        <v>841</v>
      </c>
      <c r="F132" s="63" t="s">
        <v>821</v>
      </c>
      <c r="G132" s="63" t="s">
        <v>842</v>
      </c>
      <c r="H132" s="63" t="s">
        <v>830</v>
      </c>
      <c r="I132" s="63" t="s">
        <v>843</v>
      </c>
      <c r="J132" s="63" t="s">
        <v>844</v>
      </c>
      <c r="K132" s="63" t="s">
        <v>845</v>
      </c>
      <c r="L132" s="65" t="s">
        <v>149</v>
      </c>
      <c r="M132" s="63" t="s">
        <v>711</v>
      </c>
      <c r="N132" s="63" t="s">
        <v>151</v>
      </c>
      <c r="O132" s="66" t="s">
        <v>20</v>
      </c>
    </row>
    <row r="133" spans="1:15" ht="150" customHeight="1" x14ac:dyDescent="0.25">
      <c r="A133" s="63" t="str">
        <f t="shared" si="3"/>
        <v>TC_EU_023</v>
      </c>
      <c r="B133" s="110"/>
      <c r="C133" s="63"/>
      <c r="D133" s="63" t="s">
        <v>846</v>
      </c>
      <c r="E133" s="63" t="s">
        <v>847</v>
      </c>
      <c r="F133" s="63" t="s">
        <v>848</v>
      </c>
      <c r="G133" s="63" t="s">
        <v>849</v>
      </c>
      <c r="H133" s="63" t="s">
        <v>830</v>
      </c>
      <c r="I133" s="63" t="s">
        <v>850</v>
      </c>
      <c r="J133" s="63" t="s">
        <v>851</v>
      </c>
      <c r="K133" s="63" t="s">
        <v>852</v>
      </c>
      <c r="L133" s="65" t="s">
        <v>149</v>
      </c>
      <c r="M133" s="63" t="s">
        <v>711</v>
      </c>
      <c r="N133" s="63" t="s">
        <v>151</v>
      </c>
      <c r="O133" s="66" t="s">
        <v>20</v>
      </c>
    </row>
    <row r="134" spans="1:15" ht="150" customHeight="1" x14ac:dyDescent="0.25">
      <c r="A134" s="63" t="str">
        <f t="shared" si="3"/>
        <v>TC_EU_024</v>
      </c>
      <c r="B134" s="110"/>
      <c r="C134" s="63"/>
      <c r="D134" s="63" t="s">
        <v>853</v>
      </c>
      <c r="E134" s="63" t="s">
        <v>854</v>
      </c>
      <c r="F134" s="63" t="s">
        <v>848</v>
      </c>
      <c r="G134" s="63" t="s">
        <v>855</v>
      </c>
      <c r="H134" s="63" t="s">
        <v>830</v>
      </c>
      <c r="I134" s="63" t="s">
        <v>856</v>
      </c>
      <c r="J134" s="63" t="s">
        <v>857</v>
      </c>
      <c r="K134" s="63" t="s">
        <v>858</v>
      </c>
      <c r="L134" s="65" t="s">
        <v>149</v>
      </c>
      <c r="M134" s="63" t="s">
        <v>711</v>
      </c>
      <c r="N134" s="63" t="s">
        <v>151</v>
      </c>
      <c r="O134" s="66" t="s">
        <v>20</v>
      </c>
    </row>
    <row r="135" spans="1:15" ht="150" customHeight="1" x14ac:dyDescent="0.25">
      <c r="A135" s="63" t="str">
        <f t="shared" si="3"/>
        <v>TC_EU_025</v>
      </c>
      <c r="B135" s="110"/>
      <c r="C135" s="63"/>
      <c r="D135" s="63" t="s">
        <v>859</v>
      </c>
      <c r="E135" s="63" t="s">
        <v>860</v>
      </c>
      <c r="F135" s="63" t="s">
        <v>848</v>
      </c>
      <c r="G135" s="63" t="s">
        <v>861</v>
      </c>
      <c r="H135" s="63" t="s">
        <v>862</v>
      </c>
      <c r="I135" s="63" t="s">
        <v>863</v>
      </c>
      <c r="J135" s="63" t="s">
        <v>857</v>
      </c>
      <c r="K135" s="63" t="s">
        <v>864</v>
      </c>
      <c r="L135" s="65" t="s">
        <v>149</v>
      </c>
      <c r="M135" s="63" t="s">
        <v>711</v>
      </c>
      <c r="N135" s="63" t="s">
        <v>151</v>
      </c>
      <c r="O135" s="66" t="s">
        <v>20</v>
      </c>
    </row>
    <row r="136" spans="1:15" ht="150" customHeight="1" x14ac:dyDescent="0.25">
      <c r="A136" s="63" t="str">
        <f t="shared" si="3"/>
        <v>TC_EU_026</v>
      </c>
      <c r="B136" s="110"/>
      <c r="C136" s="63"/>
      <c r="D136" s="63" t="s">
        <v>865</v>
      </c>
      <c r="E136" s="63" t="s">
        <v>866</v>
      </c>
      <c r="F136" s="63" t="s">
        <v>848</v>
      </c>
      <c r="G136" s="63" t="s">
        <v>867</v>
      </c>
      <c r="H136" s="63" t="s">
        <v>868</v>
      </c>
      <c r="I136" s="63" t="s">
        <v>869</v>
      </c>
      <c r="J136" s="63" t="s">
        <v>857</v>
      </c>
      <c r="K136" s="63" t="s">
        <v>870</v>
      </c>
      <c r="L136" s="65" t="s">
        <v>149</v>
      </c>
      <c r="M136" s="63" t="s">
        <v>711</v>
      </c>
      <c r="N136" s="63" t="s">
        <v>151</v>
      </c>
      <c r="O136" s="66" t="s">
        <v>20</v>
      </c>
    </row>
    <row r="137" spans="1:15" ht="150" customHeight="1" x14ac:dyDescent="0.25">
      <c r="A137" s="63" t="str">
        <f t="shared" si="3"/>
        <v>TC_EU_027</v>
      </c>
      <c r="B137" s="110"/>
      <c r="C137" s="63"/>
      <c r="D137" s="63" t="s">
        <v>871</v>
      </c>
      <c r="E137" s="63" t="s">
        <v>872</v>
      </c>
      <c r="F137" s="63" t="s">
        <v>848</v>
      </c>
      <c r="G137" s="63" t="s">
        <v>873</v>
      </c>
      <c r="H137" s="63" t="s">
        <v>874</v>
      </c>
      <c r="I137" s="63" t="s">
        <v>875</v>
      </c>
      <c r="J137" s="63" t="s">
        <v>876</v>
      </c>
      <c r="K137" s="63" t="s">
        <v>877</v>
      </c>
      <c r="L137" s="65" t="s">
        <v>149</v>
      </c>
      <c r="M137" s="63" t="s">
        <v>711</v>
      </c>
      <c r="N137" s="63" t="s">
        <v>151</v>
      </c>
      <c r="O137" s="66" t="s">
        <v>20</v>
      </c>
    </row>
    <row r="138" spans="1:15" ht="150" customHeight="1" x14ac:dyDescent="0.25">
      <c r="A138" s="63" t="str">
        <f t="shared" si="3"/>
        <v>TC_EU_028</v>
      </c>
      <c r="B138" s="110"/>
      <c r="C138" s="63"/>
      <c r="D138" s="63" t="s">
        <v>878</v>
      </c>
      <c r="E138" s="63" t="s">
        <v>879</v>
      </c>
      <c r="F138" s="63" t="s">
        <v>848</v>
      </c>
      <c r="G138" s="63" t="s">
        <v>880</v>
      </c>
      <c r="H138" s="63" t="s">
        <v>881</v>
      </c>
      <c r="I138" s="63" t="s">
        <v>882</v>
      </c>
      <c r="J138" s="63" t="s">
        <v>857</v>
      </c>
      <c r="K138" s="63" t="s">
        <v>877</v>
      </c>
      <c r="L138" s="68" t="s">
        <v>238</v>
      </c>
      <c r="M138" s="63" t="s">
        <v>711</v>
      </c>
      <c r="N138" s="63" t="s">
        <v>151</v>
      </c>
      <c r="O138" s="66" t="s">
        <v>20</v>
      </c>
    </row>
    <row r="139" spans="1:15" ht="150" customHeight="1" x14ac:dyDescent="0.25">
      <c r="A139" s="63" t="str">
        <f t="shared" si="3"/>
        <v>TC_EU_029</v>
      </c>
      <c r="B139" s="110"/>
      <c r="C139" s="63"/>
      <c r="D139" s="63" t="s">
        <v>883</v>
      </c>
      <c r="E139" s="63" t="s">
        <v>884</v>
      </c>
      <c r="F139" s="63" t="s">
        <v>848</v>
      </c>
      <c r="G139" s="63" t="s">
        <v>885</v>
      </c>
      <c r="H139" s="63" t="s">
        <v>886</v>
      </c>
      <c r="I139" s="63" t="s">
        <v>887</v>
      </c>
      <c r="J139" s="63" t="s">
        <v>857</v>
      </c>
      <c r="K139" s="63" t="s">
        <v>877</v>
      </c>
      <c r="L139" s="68" t="s">
        <v>238</v>
      </c>
      <c r="M139" s="63" t="s">
        <v>711</v>
      </c>
      <c r="N139" s="63" t="s">
        <v>151</v>
      </c>
      <c r="O139" s="66" t="s">
        <v>20</v>
      </c>
    </row>
    <row r="140" spans="1:15" ht="150" customHeight="1" x14ac:dyDescent="0.25">
      <c r="A140" s="63" t="str">
        <f t="shared" si="3"/>
        <v>TC_EU_030</v>
      </c>
      <c r="B140" s="110"/>
      <c r="C140" s="63"/>
      <c r="D140" s="63" t="s">
        <v>888</v>
      </c>
      <c r="E140" s="63" t="s">
        <v>889</v>
      </c>
      <c r="F140" s="63" t="s">
        <v>890</v>
      </c>
      <c r="G140" s="63" t="s">
        <v>891</v>
      </c>
      <c r="H140" s="63" t="s">
        <v>892</v>
      </c>
      <c r="I140" s="63" t="s">
        <v>893</v>
      </c>
      <c r="J140" s="63" t="s">
        <v>894</v>
      </c>
      <c r="K140" s="63" t="s">
        <v>895</v>
      </c>
      <c r="L140" s="65" t="s">
        <v>149</v>
      </c>
      <c r="M140" s="63" t="s">
        <v>711</v>
      </c>
      <c r="N140" s="63" t="s">
        <v>151</v>
      </c>
      <c r="O140" s="66" t="s">
        <v>20</v>
      </c>
    </row>
    <row r="141" spans="1:15" ht="150" customHeight="1" x14ac:dyDescent="0.25">
      <c r="A141" s="63" t="str">
        <f t="shared" si="3"/>
        <v>TC_EU_031</v>
      </c>
      <c r="B141" s="110"/>
      <c r="C141" s="63"/>
      <c r="D141" s="63" t="s">
        <v>896</v>
      </c>
      <c r="E141" s="63" t="s">
        <v>897</v>
      </c>
      <c r="F141" s="63" t="s">
        <v>890</v>
      </c>
      <c r="G141" s="63" t="s">
        <v>898</v>
      </c>
      <c r="H141" s="63" t="s">
        <v>874</v>
      </c>
      <c r="I141" s="63" t="s">
        <v>899</v>
      </c>
      <c r="J141" s="63" t="s">
        <v>900</v>
      </c>
      <c r="K141" s="63" t="s">
        <v>901</v>
      </c>
      <c r="L141" s="68" t="s">
        <v>238</v>
      </c>
      <c r="M141" s="63" t="s">
        <v>711</v>
      </c>
      <c r="N141" s="63" t="s">
        <v>151</v>
      </c>
      <c r="O141" s="66" t="s">
        <v>20</v>
      </c>
    </row>
    <row r="142" spans="1:15" ht="48.6" customHeight="1" x14ac:dyDescent="0.25">
      <c r="A142" s="108" t="s">
        <v>902</v>
      </c>
      <c r="B142" s="108"/>
      <c r="C142" s="108"/>
      <c r="D142" s="108"/>
      <c r="E142" s="108"/>
      <c r="F142" s="108"/>
      <c r="G142" s="108"/>
      <c r="H142" s="108"/>
      <c r="I142" s="108"/>
      <c r="J142" s="108"/>
      <c r="K142" s="108"/>
      <c r="L142" s="108"/>
      <c r="M142" s="108"/>
      <c r="N142" s="108"/>
      <c r="O142" s="108"/>
    </row>
    <row r="143" spans="1:15" ht="150" customHeight="1" x14ac:dyDescent="0.25">
      <c r="A143" s="1" t="str">
        <f>"TC_VU_" &amp; TEXT(ROW(A1), "000")</f>
        <v>TC_VU_001</v>
      </c>
      <c r="B143" s="1" t="s">
        <v>21</v>
      </c>
      <c r="C143" s="61"/>
      <c r="D143" s="1" t="s">
        <v>903</v>
      </c>
      <c r="E143" s="1" t="s">
        <v>904</v>
      </c>
      <c r="F143" s="1" t="s">
        <v>367</v>
      </c>
      <c r="G143" s="2" t="s">
        <v>905</v>
      </c>
      <c r="H143" s="2" t="s">
        <v>906</v>
      </c>
      <c r="I143" s="2" t="s">
        <v>370</v>
      </c>
      <c r="J143" s="2" t="s">
        <v>371</v>
      </c>
      <c r="K143" s="2" t="s">
        <v>354</v>
      </c>
      <c r="L143" s="2" t="s">
        <v>149</v>
      </c>
      <c r="M143" s="2" t="s">
        <v>372</v>
      </c>
      <c r="N143" s="92" t="s">
        <v>373</v>
      </c>
      <c r="O143" s="2"/>
    </row>
    <row r="144" spans="1:15" ht="150" customHeight="1" x14ac:dyDescent="0.25">
      <c r="A144" s="1" t="str">
        <f t="shared" ref="A144:A186" si="4">"TC_VU_" &amp; TEXT(ROW(A2), "000")</f>
        <v>TC_VU_002</v>
      </c>
      <c r="B144" s="1" t="s">
        <v>21</v>
      </c>
      <c r="C144" s="61"/>
      <c r="D144" s="1" t="s">
        <v>907</v>
      </c>
      <c r="E144" s="1" t="s">
        <v>375</v>
      </c>
      <c r="F144" s="1" t="s">
        <v>367</v>
      </c>
      <c r="G144" s="2" t="s">
        <v>376</v>
      </c>
      <c r="H144" s="2" t="s">
        <v>377</v>
      </c>
      <c r="I144" s="2" t="s">
        <v>378</v>
      </c>
      <c r="J144" s="2" t="s">
        <v>379</v>
      </c>
      <c r="K144" s="2" t="s">
        <v>354</v>
      </c>
      <c r="L144" s="2" t="s">
        <v>149</v>
      </c>
      <c r="M144" s="2" t="s">
        <v>372</v>
      </c>
      <c r="N144" s="92" t="s">
        <v>373</v>
      </c>
      <c r="O144" s="2"/>
    </row>
    <row r="145" spans="1:15" ht="150" customHeight="1" x14ac:dyDescent="0.25">
      <c r="A145" s="1" t="str">
        <f t="shared" si="4"/>
        <v>TC_VU_003</v>
      </c>
      <c r="B145" s="1" t="s">
        <v>21</v>
      </c>
      <c r="C145" s="62"/>
      <c r="D145" s="1" t="s">
        <v>908</v>
      </c>
      <c r="E145" s="1" t="s">
        <v>909</v>
      </c>
      <c r="F145" s="1" t="s">
        <v>367</v>
      </c>
      <c r="G145" s="2" t="s">
        <v>910</v>
      </c>
      <c r="H145" s="2" t="s">
        <v>911</v>
      </c>
      <c r="I145" s="2" t="s">
        <v>384</v>
      </c>
      <c r="J145" s="2" t="s">
        <v>379</v>
      </c>
      <c r="K145" s="2" t="s">
        <v>354</v>
      </c>
      <c r="L145" s="2" t="s">
        <v>149</v>
      </c>
      <c r="M145" s="2" t="s">
        <v>372</v>
      </c>
      <c r="N145" s="92" t="s">
        <v>373</v>
      </c>
      <c r="O145" s="2"/>
    </row>
    <row r="146" spans="1:15" ht="150" customHeight="1" x14ac:dyDescent="0.25">
      <c r="A146" s="1" t="str">
        <f t="shared" si="4"/>
        <v>TC_VU_004</v>
      </c>
      <c r="B146" s="1" t="s">
        <v>21</v>
      </c>
      <c r="C146" s="62"/>
      <c r="D146" s="1" t="s">
        <v>912</v>
      </c>
      <c r="E146" s="1" t="s">
        <v>913</v>
      </c>
      <c r="F146" s="1" t="s">
        <v>367</v>
      </c>
      <c r="G146" s="2" t="s">
        <v>914</v>
      </c>
      <c r="H146" s="2" t="s">
        <v>388</v>
      </c>
      <c r="I146" s="2" t="s">
        <v>389</v>
      </c>
      <c r="J146" s="2" t="s">
        <v>379</v>
      </c>
      <c r="K146" s="2" t="s">
        <v>354</v>
      </c>
      <c r="L146" s="2" t="s">
        <v>149</v>
      </c>
      <c r="M146" s="2" t="s">
        <v>372</v>
      </c>
      <c r="N146" s="92" t="s">
        <v>373</v>
      </c>
      <c r="O146" s="2"/>
    </row>
    <row r="147" spans="1:15" ht="150" customHeight="1" x14ac:dyDescent="0.25">
      <c r="A147" s="1" t="str">
        <f t="shared" si="4"/>
        <v>TC_VU_005</v>
      </c>
      <c r="B147" s="91" t="s">
        <v>915</v>
      </c>
      <c r="C147" s="94"/>
      <c r="D147" s="91" t="s">
        <v>916</v>
      </c>
      <c r="E147" s="91" t="s">
        <v>917</v>
      </c>
      <c r="F147" s="91" t="s">
        <v>367</v>
      </c>
      <c r="G147" s="90" t="s">
        <v>918</v>
      </c>
      <c r="H147" s="90"/>
      <c r="I147" s="90" t="s">
        <v>919</v>
      </c>
      <c r="J147" s="90" t="s">
        <v>379</v>
      </c>
      <c r="K147" s="90" t="s">
        <v>354</v>
      </c>
      <c r="L147" s="90" t="s">
        <v>149</v>
      </c>
      <c r="M147" s="90" t="s">
        <v>372</v>
      </c>
      <c r="N147" s="95" t="s">
        <v>920</v>
      </c>
      <c r="O147" s="2"/>
    </row>
    <row r="148" spans="1:15" ht="150" customHeight="1" x14ac:dyDescent="0.25">
      <c r="A148" s="1" t="str">
        <f t="shared" si="4"/>
        <v>TC_VU_006</v>
      </c>
      <c r="B148" s="1" t="s">
        <v>390</v>
      </c>
      <c r="C148" s="62"/>
      <c r="D148" s="1" t="s">
        <v>921</v>
      </c>
      <c r="E148" s="6" t="s">
        <v>392</v>
      </c>
      <c r="F148" s="1" t="s">
        <v>393</v>
      </c>
      <c r="G148" s="2" t="s">
        <v>922</v>
      </c>
      <c r="H148" s="2" t="s">
        <v>906</v>
      </c>
      <c r="I148" s="2" t="s">
        <v>395</v>
      </c>
      <c r="J148" s="2" t="s">
        <v>396</v>
      </c>
      <c r="K148" s="2" t="s">
        <v>354</v>
      </c>
      <c r="L148" s="2" t="s">
        <v>149</v>
      </c>
      <c r="M148" s="2" t="s">
        <v>372</v>
      </c>
      <c r="N148" s="92" t="s">
        <v>373</v>
      </c>
      <c r="O148" s="9"/>
    </row>
    <row r="149" spans="1:15" ht="150" customHeight="1" x14ac:dyDescent="0.25">
      <c r="A149" s="1" t="str">
        <f t="shared" si="4"/>
        <v>TC_VU_007</v>
      </c>
      <c r="B149" s="1" t="s">
        <v>390</v>
      </c>
      <c r="C149" s="62"/>
      <c r="D149" s="1" t="s">
        <v>923</v>
      </c>
      <c r="E149" s="6" t="s">
        <v>398</v>
      </c>
      <c r="F149" s="1" t="s">
        <v>393</v>
      </c>
      <c r="G149" s="2" t="s">
        <v>924</v>
      </c>
      <c r="H149" s="2" t="s">
        <v>906</v>
      </c>
      <c r="I149" s="2" t="s">
        <v>400</v>
      </c>
      <c r="J149" s="2" t="s">
        <v>379</v>
      </c>
      <c r="K149" s="2" t="s">
        <v>354</v>
      </c>
      <c r="L149" s="2" t="s">
        <v>149</v>
      </c>
      <c r="M149" s="2" t="s">
        <v>372</v>
      </c>
      <c r="N149" s="92" t="s">
        <v>373</v>
      </c>
      <c r="O149" s="9"/>
    </row>
    <row r="150" spans="1:15" ht="150" customHeight="1" x14ac:dyDescent="0.25">
      <c r="A150" s="1" t="str">
        <f t="shared" si="4"/>
        <v>TC_VU_008</v>
      </c>
      <c r="B150" s="91" t="s">
        <v>390</v>
      </c>
      <c r="C150" s="94"/>
      <c r="D150" s="91" t="s">
        <v>925</v>
      </c>
      <c r="E150" s="91" t="s">
        <v>917</v>
      </c>
      <c r="F150" s="91" t="s">
        <v>393</v>
      </c>
      <c r="G150" s="90" t="s">
        <v>926</v>
      </c>
      <c r="H150" s="90" t="s">
        <v>906</v>
      </c>
      <c r="I150" s="90" t="s">
        <v>927</v>
      </c>
      <c r="J150" s="90" t="s">
        <v>379</v>
      </c>
      <c r="K150" s="90" t="s">
        <v>354</v>
      </c>
      <c r="L150" s="90" t="s">
        <v>149</v>
      </c>
      <c r="M150" s="90" t="s">
        <v>372</v>
      </c>
      <c r="N150" s="95" t="s">
        <v>920</v>
      </c>
      <c r="O150" s="9"/>
    </row>
    <row r="151" spans="1:15" ht="150" customHeight="1" x14ac:dyDescent="0.25">
      <c r="A151" s="1" t="str">
        <f t="shared" si="4"/>
        <v>TC_VU_009</v>
      </c>
      <c r="B151" s="1" t="s">
        <v>401</v>
      </c>
      <c r="C151" s="61"/>
      <c r="D151" s="1" t="s">
        <v>928</v>
      </c>
      <c r="E151" s="1" t="s">
        <v>403</v>
      </c>
      <c r="F151" s="1" t="s">
        <v>393</v>
      </c>
      <c r="G151" s="2" t="s">
        <v>929</v>
      </c>
      <c r="H151" s="2" t="s">
        <v>906</v>
      </c>
      <c r="I151" s="2" t="s">
        <v>405</v>
      </c>
      <c r="J151" s="2" t="s">
        <v>379</v>
      </c>
      <c r="K151" s="2" t="s">
        <v>354</v>
      </c>
      <c r="L151" s="2" t="s">
        <v>149</v>
      </c>
      <c r="M151" s="2" t="s">
        <v>372</v>
      </c>
      <c r="N151" s="2" t="s">
        <v>373</v>
      </c>
    </row>
    <row r="152" spans="1:15" ht="150" customHeight="1" x14ac:dyDescent="0.25">
      <c r="A152" s="1" t="str">
        <f t="shared" si="4"/>
        <v>TC_VU_010</v>
      </c>
      <c r="B152" s="1" t="s">
        <v>401</v>
      </c>
      <c r="C152" s="61"/>
      <c r="D152" s="1" t="s">
        <v>930</v>
      </c>
      <c r="E152" s="1" t="s">
        <v>407</v>
      </c>
      <c r="F152" s="1" t="s">
        <v>393</v>
      </c>
      <c r="G152" s="2" t="s">
        <v>931</v>
      </c>
      <c r="H152" s="2" t="s">
        <v>906</v>
      </c>
      <c r="I152" s="2" t="s">
        <v>409</v>
      </c>
      <c r="J152" s="2" t="s">
        <v>379</v>
      </c>
      <c r="K152" s="2" t="s">
        <v>354</v>
      </c>
      <c r="L152" s="2" t="s">
        <v>149</v>
      </c>
      <c r="M152" s="2" t="s">
        <v>372</v>
      </c>
      <c r="N152" s="2" t="s">
        <v>373</v>
      </c>
    </row>
    <row r="153" spans="1:15" ht="150" customHeight="1" x14ac:dyDescent="0.25">
      <c r="A153" s="1" t="str">
        <f t="shared" si="4"/>
        <v>TC_VU_011</v>
      </c>
      <c r="B153" s="1" t="s">
        <v>401</v>
      </c>
      <c r="C153" s="61"/>
      <c r="D153" s="1" t="s">
        <v>932</v>
      </c>
      <c r="E153" s="1" t="s">
        <v>411</v>
      </c>
      <c r="F153" s="1" t="s">
        <v>393</v>
      </c>
      <c r="G153" s="2" t="s">
        <v>933</v>
      </c>
      <c r="H153" s="2" t="s">
        <v>906</v>
      </c>
      <c r="I153" s="2" t="s">
        <v>413</v>
      </c>
      <c r="J153" s="2" t="s">
        <v>379</v>
      </c>
      <c r="K153" s="2" t="s">
        <v>354</v>
      </c>
      <c r="L153" s="2" t="s">
        <v>149</v>
      </c>
      <c r="M153" s="2" t="s">
        <v>372</v>
      </c>
      <c r="N153" s="2" t="s">
        <v>373</v>
      </c>
    </row>
    <row r="154" spans="1:15" ht="150" customHeight="1" x14ac:dyDescent="0.25">
      <c r="A154" s="1" t="str">
        <f t="shared" si="4"/>
        <v>TC_VU_012</v>
      </c>
      <c r="B154" s="1" t="s">
        <v>401</v>
      </c>
      <c r="C154" s="61"/>
      <c r="D154" s="1" t="s">
        <v>932</v>
      </c>
      <c r="E154" s="1" t="s">
        <v>414</v>
      </c>
      <c r="F154" s="1" t="s">
        <v>393</v>
      </c>
      <c r="G154" s="2" t="s">
        <v>933</v>
      </c>
      <c r="H154" s="2" t="s">
        <v>906</v>
      </c>
      <c r="I154" s="2" t="s">
        <v>413</v>
      </c>
      <c r="J154" s="2" t="s">
        <v>379</v>
      </c>
      <c r="K154" s="2" t="s">
        <v>354</v>
      </c>
      <c r="L154" s="2" t="s">
        <v>149</v>
      </c>
      <c r="M154" s="2" t="s">
        <v>372</v>
      </c>
      <c r="N154" s="2" t="s">
        <v>373</v>
      </c>
    </row>
    <row r="155" spans="1:15" ht="150" customHeight="1" x14ac:dyDescent="0.25">
      <c r="A155" s="1" t="str">
        <f t="shared" si="4"/>
        <v>TC_VU_013</v>
      </c>
      <c r="B155" s="1" t="s">
        <v>401</v>
      </c>
      <c r="C155" s="61"/>
      <c r="D155" s="1" t="s">
        <v>934</v>
      </c>
      <c r="E155" s="1" t="s">
        <v>416</v>
      </c>
      <c r="F155" s="1" t="s">
        <v>393</v>
      </c>
      <c r="G155" s="2" t="s">
        <v>935</v>
      </c>
      <c r="H155" s="2" t="s">
        <v>906</v>
      </c>
      <c r="I155" s="2" t="s">
        <v>418</v>
      </c>
      <c r="J155" s="2" t="s">
        <v>379</v>
      </c>
      <c r="K155" s="2" t="s">
        <v>354</v>
      </c>
      <c r="L155" s="2" t="s">
        <v>149</v>
      </c>
      <c r="M155" s="2" t="s">
        <v>372</v>
      </c>
      <c r="N155" s="2" t="s">
        <v>373</v>
      </c>
    </row>
    <row r="156" spans="1:15" ht="150" customHeight="1" x14ac:dyDescent="0.25">
      <c r="A156" s="1" t="str">
        <f t="shared" si="4"/>
        <v>TC_VU_014</v>
      </c>
      <c r="B156" s="1" t="s">
        <v>401</v>
      </c>
      <c r="C156" s="61"/>
      <c r="D156" s="1" t="s">
        <v>936</v>
      </c>
      <c r="E156" s="1" t="s">
        <v>420</v>
      </c>
      <c r="F156" s="1" t="s">
        <v>393</v>
      </c>
      <c r="G156" s="2" t="s">
        <v>937</v>
      </c>
      <c r="H156" s="2" t="s">
        <v>906</v>
      </c>
      <c r="I156" s="2" t="s">
        <v>418</v>
      </c>
      <c r="J156" s="2" t="s">
        <v>379</v>
      </c>
      <c r="K156" s="2" t="s">
        <v>354</v>
      </c>
      <c r="L156" s="2" t="s">
        <v>149</v>
      </c>
      <c r="M156" s="2" t="s">
        <v>372</v>
      </c>
      <c r="N156" s="2" t="s">
        <v>373</v>
      </c>
    </row>
    <row r="157" spans="1:15" ht="150" customHeight="1" x14ac:dyDescent="0.25">
      <c r="A157" s="1" t="str">
        <f t="shared" si="4"/>
        <v>TC_VU_015</v>
      </c>
      <c r="B157" s="91" t="s">
        <v>401</v>
      </c>
      <c r="C157" s="93"/>
      <c r="D157" s="91" t="s">
        <v>938</v>
      </c>
      <c r="E157" s="91" t="s">
        <v>917</v>
      </c>
      <c r="F157" s="91" t="s">
        <v>393</v>
      </c>
      <c r="G157" s="90" t="s">
        <v>939</v>
      </c>
      <c r="H157" s="90" t="s">
        <v>906</v>
      </c>
      <c r="I157" s="90" t="s">
        <v>940</v>
      </c>
      <c r="J157" s="90" t="s">
        <v>379</v>
      </c>
      <c r="K157" s="90" t="s">
        <v>941</v>
      </c>
      <c r="L157" s="90" t="s">
        <v>238</v>
      </c>
      <c r="M157" s="90" t="s">
        <v>372</v>
      </c>
      <c r="N157" s="90" t="s">
        <v>920</v>
      </c>
    </row>
    <row r="158" spans="1:15" ht="150" customHeight="1" x14ac:dyDescent="0.25">
      <c r="A158" s="1" t="str">
        <f t="shared" si="4"/>
        <v>TC_VU_016</v>
      </c>
      <c r="B158" s="91" t="s">
        <v>427</v>
      </c>
      <c r="C158" s="93"/>
      <c r="D158" s="91" t="s">
        <v>942</v>
      </c>
      <c r="E158" s="91" t="s">
        <v>943</v>
      </c>
      <c r="F158" s="91" t="s">
        <v>393</v>
      </c>
      <c r="G158" s="90" t="s">
        <v>944</v>
      </c>
      <c r="H158" s="90" t="s">
        <v>906</v>
      </c>
      <c r="I158" s="90" t="s">
        <v>945</v>
      </c>
      <c r="J158" s="90" t="s">
        <v>379</v>
      </c>
      <c r="K158" s="90" t="s">
        <v>946</v>
      </c>
      <c r="L158" s="90" t="s">
        <v>238</v>
      </c>
      <c r="M158" s="90" t="s">
        <v>372</v>
      </c>
      <c r="N158" s="90" t="s">
        <v>920</v>
      </c>
    </row>
    <row r="159" spans="1:15" ht="150" customHeight="1" x14ac:dyDescent="0.25">
      <c r="A159" s="1" t="str">
        <f t="shared" si="4"/>
        <v>TC_VU_017</v>
      </c>
      <c r="B159" s="91" t="s">
        <v>422</v>
      </c>
      <c r="C159" s="93"/>
      <c r="D159" s="91" t="s">
        <v>947</v>
      </c>
      <c r="E159" s="91" t="s">
        <v>424</v>
      </c>
      <c r="F159" s="91" t="s">
        <v>393</v>
      </c>
      <c r="G159" s="90" t="s">
        <v>948</v>
      </c>
      <c r="H159" s="90" t="s">
        <v>906</v>
      </c>
      <c r="I159" s="90" t="s">
        <v>426</v>
      </c>
      <c r="J159" s="90" t="s">
        <v>379</v>
      </c>
      <c r="K159" s="90" t="s">
        <v>949</v>
      </c>
      <c r="L159" s="90" t="s">
        <v>238</v>
      </c>
      <c r="M159" s="90" t="s">
        <v>372</v>
      </c>
      <c r="N159" s="90" t="s">
        <v>920</v>
      </c>
    </row>
    <row r="160" spans="1:15" ht="150" customHeight="1" x14ac:dyDescent="0.25">
      <c r="A160" s="1" t="str">
        <f t="shared" si="4"/>
        <v>TC_VU_018</v>
      </c>
      <c r="B160" s="1" t="s">
        <v>422</v>
      </c>
      <c r="C160" s="61"/>
      <c r="D160" s="1" t="s">
        <v>950</v>
      </c>
      <c r="E160" s="1" t="s">
        <v>433</v>
      </c>
      <c r="F160" s="1" t="s">
        <v>393</v>
      </c>
      <c r="G160" s="2" t="s">
        <v>951</v>
      </c>
      <c r="H160" s="2" t="s">
        <v>906</v>
      </c>
      <c r="I160" s="2" t="s">
        <v>435</v>
      </c>
      <c r="J160" s="2" t="s">
        <v>379</v>
      </c>
      <c r="K160" s="2" t="s">
        <v>354</v>
      </c>
      <c r="L160" s="2" t="s">
        <v>149</v>
      </c>
      <c r="M160" s="2" t="s">
        <v>372</v>
      </c>
      <c r="N160" s="2" t="s">
        <v>373</v>
      </c>
    </row>
    <row r="161" spans="1:15" ht="150" customHeight="1" x14ac:dyDescent="0.25">
      <c r="A161" s="1" t="str">
        <f t="shared" si="4"/>
        <v>TC_VU_019</v>
      </c>
      <c r="B161" s="1" t="s">
        <v>422</v>
      </c>
      <c r="C161" s="61"/>
      <c r="D161" s="1" t="s">
        <v>952</v>
      </c>
      <c r="E161" s="1" t="s">
        <v>437</v>
      </c>
      <c r="F161" s="1" t="s">
        <v>393</v>
      </c>
      <c r="G161" s="2" t="s">
        <v>953</v>
      </c>
      <c r="H161" s="2" t="s">
        <v>906</v>
      </c>
      <c r="I161" s="2" t="s">
        <v>439</v>
      </c>
      <c r="J161" s="2" t="s">
        <v>379</v>
      </c>
      <c r="K161" s="2" t="s">
        <v>954</v>
      </c>
      <c r="L161" s="2" t="s">
        <v>238</v>
      </c>
      <c r="M161" s="2" t="s">
        <v>372</v>
      </c>
      <c r="N161" s="2" t="s">
        <v>373</v>
      </c>
    </row>
    <row r="162" spans="1:15" ht="150" customHeight="1" x14ac:dyDescent="0.25">
      <c r="A162" s="1" t="str">
        <f t="shared" si="4"/>
        <v>TC_VU_020</v>
      </c>
      <c r="B162" s="1" t="s">
        <v>422</v>
      </c>
      <c r="C162" s="61"/>
      <c r="D162" s="1" t="s">
        <v>955</v>
      </c>
      <c r="E162" s="1" t="s">
        <v>437</v>
      </c>
      <c r="F162" s="1" t="s">
        <v>393</v>
      </c>
      <c r="G162" s="2" t="s">
        <v>956</v>
      </c>
      <c r="H162" s="2" t="s">
        <v>906</v>
      </c>
      <c r="I162" s="2" t="s">
        <v>439</v>
      </c>
      <c r="J162" s="2" t="s">
        <v>379</v>
      </c>
      <c r="K162" s="2" t="s">
        <v>354</v>
      </c>
      <c r="L162" s="2" t="s">
        <v>149</v>
      </c>
      <c r="M162" s="2" t="s">
        <v>372</v>
      </c>
      <c r="N162" s="2" t="s">
        <v>373</v>
      </c>
    </row>
    <row r="163" spans="1:15" ht="150" customHeight="1" x14ac:dyDescent="0.25">
      <c r="A163" s="1" t="str">
        <f t="shared" si="4"/>
        <v>TC_VU_021</v>
      </c>
      <c r="B163" s="38" t="s">
        <v>442</v>
      </c>
      <c r="C163" s="39"/>
      <c r="D163" s="39" t="s">
        <v>443</v>
      </c>
      <c r="E163" s="39" t="s">
        <v>444</v>
      </c>
      <c r="F163" s="38" t="s">
        <v>445</v>
      </c>
      <c r="G163" s="37" t="s">
        <v>957</v>
      </c>
      <c r="H163" s="40" t="s">
        <v>958</v>
      </c>
      <c r="I163" s="37" t="s">
        <v>959</v>
      </c>
      <c r="J163" s="38" t="s">
        <v>449</v>
      </c>
      <c r="K163" s="37" t="s">
        <v>960</v>
      </c>
      <c r="L163" s="59" t="s">
        <v>238</v>
      </c>
      <c r="M163" s="38" t="s">
        <v>372</v>
      </c>
      <c r="N163" s="2" t="s">
        <v>373</v>
      </c>
      <c r="O163" s="38"/>
    </row>
    <row r="164" spans="1:15" ht="150" customHeight="1" x14ac:dyDescent="0.25">
      <c r="A164" s="1" t="str">
        <f t="shared" si="4"/>
        <v>TC_VU_022</v>
      </c>
      <c r="B164" s="38" t="s">
        <v>442</v>
      </c>
      <c r="C164" s="38"/>
      <c r="D164" s="39" t="s">
        <v>452</v>
      </c>
      <c r="E164" s="39" t="s">
        <v>453</v>
      </c>
      <c r="F164" s="38" t="s">
        <v>445</v>
      </c>
      <c r="G164" s="37" t="s">
        <v>961</v>
      </c>
      <c r="H164" s="40" t="s">
        <v>958</v>
      </c>
      <c r="I164" s="37" t="s">
        <v>959</v>
      </c>
      <c r="J164" s="38" t="s">
        <v>449</v>
      </c>
      <c r="K164" s="39" t="s">
        <v>354</v>
      </c>
      <c r="L164" s="59" t="s">
        <v>149</v>
      </c>
      <c r="M164" s="38" t="s">
        <v>372</v>
      </c>
      <c r="N164" s="2" t="s">
        <v>373</v>
      </c>
      <c r="O164" s="38"/>
    </row>
    <row r="165" spans="1:15" ht="150" customHeight="1" x14ac:dyDescent="0.25">
      <c r="A165" s="1" t="str">
        <f t="shared" si="4"/>
        <v>TC_VU_023</v>
      </c>
      <c r="B165" s="38" t="s">
        <v>442</v>
      </c>
      <c r="C165" s="38"/>
      <c r="D165" s="39" t="s">
        <v>455</v>
      </c>
      <c r="E165" s="39" t="s">
        <v>456</v>
      </c>
      <c r="F165" s="38" t="s">
        <v>445</v>
      </c>
      <c r="G165" s="37" t="s">
        <v>962</v>
      </c>
      <c r="H165" s="40" t="s">
        <v>958</v>
      </c>
      <c r="I165" s="37" t="s">
        <v>963</v>
      </c>
      <c r="J165" s="38" t="s">
        <v>449</v>
      </c>
      <c r="K165" s="39" t="s">
        <v>354</v>
      </c>
      <c r="L165" s="59" t="s">
        <v>149</v>
      </c>
      <c r="M165" s="38" t="s">
        <v>372</v>
      </c>
      <c r="N165" s="2" t="s">
        <v>373</v>
      </c>
      <c r="O165" s="38"/>
    </row>
    <row r="166" spans="1:15" ht="150" customHeight="1" x14ac:dyDescent="0.25">
      <c r="A166" s="1" t="str">
        <f t="shared" si="4"/>
        <v>TC_VU_024</v>
      </c>
      <c r="B166" s="96" t="s">
        <v>442</v>
      </c>
      <c r="C166" s="96"/>
      <c r="D166" s="91" t="s">
        <v>964</v>
      </c>
      <c r="E166" s="91" t="s">
        <v>917</v>
      </c>
      <c r="F166" s="96" t="s">
        <v>445</v>
      </c>
      <c r="G166" s="97" t="s">
        <v>965</v>
      </c>
      <c r="H166" s="98" t="s">
        <v>958</v>
      </c>
      <c r="I166" s="97" t="s">
        <v>966</v>
      </c>
      <c r="J166" s="96" t="s">
        <v>449</v>
      </c>
      <c r="K166" s="99" t="s">
        <v>967</v>
      </c>
      <c r="L166" s="100" t="s">
        <v>238</v>
      </c>
      <c r="M166" s="96" t="s">
        <v>372</v>
      </c>
      <c r="N166" s="90" t="s">
        <v>920</v>
      </c>
      <c r="O166" s="38"/>
    </row>
    <row r="167" spans="1:15" ht="150" customHeight="1" x14ac:dyDescent="0.25">
      <c r="A167" s="1" t="str">
        <f t="shared" si="4"/>
        <v>TC_VU_025</v>
      </c>
      <c r="B167" s="38" t="s">
        <v>188</v>
      </c>
      <c r="C167" s="38"/>
      <c r="D167" s="38" t="s">
        <v>459</v>
      </c>
      <c r="E167" s="39" t="s">
        <v>460</v>
      </c>
      <c r="F167" s="38" t="s">
        <v>461</v>
      </c>
      <c r="G167" s="37" t="s">
        <v>968</v>
      </c>
      <c r="H167" s="40" t="s">
        <v>958</v>
      </c>
      <c r="I167" s="37" t="s">
        <v>969</v>
      </c>
      <c r="J167" s="38" t="s">
        <v>464</v>
      </c>
      <c r="K167" s="39" t="s">
        <v>354</v>
      </c>
      <c r="L167" s="59" t="s">
        <v>149</v>
      </c>
      <c r="M167" s="38" t="s">
        <v>372</v>
      </c>
      <c r="N167" s="2" t="s">
        <v>373</v>
      </c>
      <c r="O167" s="38"/>
    </row>
    <row r="168" spans="1:15" ht="150" customHeight="1" x14ac:dyDescent="0.25">
      <c r="A168" s="1" t="str">
        <f t="shared" si="4"/>
        <v>TC_VU_026</v>
      </c>
      <c r="B168" s="38" t="s">
        <v>465</v>
      </c>
      <c r="C168" s="38"/>
      <c r="D168" s="38" t="s">
        <v>466</v>
      </c>
      <c r="E168" s="39" t="s">
        <v>467</v>
      </c>
      <c r="F168" s="38" t="s">
        <v>461</v>
      </c>
      <c r="G168" s="37" t="s">
        <v>970</v>
      </c>
      <c r="H168" s="40" t="s">
        <v>958</v>
      </c>
      <c r="I168" s="37" t="s">
        <v>971</v>
      </c>
      <c r="J168" s="39" t="s">
        <v>470</v>
      </c>
      <c r="K168" s="39" t="s">
        <v>354</v>
      </c>
      <c r="L168" s="59" t="s">
        <v>149</v>
      </c>
      <c r="M168" s="38" t="s">
        <v>372</v>
      </c>
      <c r="N168" s="2" t="s">
        <v>373</v>
      </c>
      <c r="O168" s="38"/>
    </row>
    <row r="169" spans="1:15" ht="150" customHeight="1" x14ac:dyDescent="0.25">
      <c r="A169" s="1" t="str">
        <f t="shared" si="4"/>
        <v>TC_VU_027</v>
      </c>
      <c r="B169" s="39" t="s">
        <v>471</v>
      </c>
      <c r="C169" s="38"/>
      <c r="D169" s="38" t="s">
        <v>472</v>
      </c>
      <c r="E169" s="39" t="s">
        <v>473</v>
      </c>
      <c r="F169" s="38" t="s">
        <v>461</v>
      </c>
      <c r="G169" s="37" t="s">
        <v>972</v>
      </c>
      <c r="H169" s="40" t="s">
        <v>958</v>
      </c>
      <c r="I169" s="37" t="s">
        <v>973</v>
      </c>
      <c r="J169" s="38" t="s">
        <v>476</v>
      </c>
      <c r="K169" s="37" t="s">
        <v>974</v>
      </c>
      <c r="L169" s="59" t="s">
        <v>238</v>
      </c>
      <c r="M169" s="38" t="s">
        <v>372</v>
      </c>
      <c r="N169" s="2" t="s">
        <v>373</v>
      </c>
      <c r="O169" s="38"/>
    </row>
    <row r="170" spans="1:15" ht="150" customHeight="1" x14ac:dyDescent="0.25">
      <c r="A170" s="1" t="str">
        <f t="shared" si="4"/>
        <v>TC_VU_028</v>
      </c>
      <c r="B170" s="39" t="s">
        <v>471</v>
      </c>
      <c r="C170" s="38"/>
      <c r="D170" s="38" t="s">
        <v>478</v>
      </c>
      <c r="E170" s="41" t="s">
        <v>479</v>
      </c>
      <c r="F170" s="38" t="s">
        <v>461</v>
      </c>
      <c r="G170" s="37" t="s">
        <v>975</v>
      </c>
      <c r="H170" s="40" t="s">
        <v>958</v>
      </c>
      <c r="I170" s="37" t="s">
        <v>971</v>
      </c>
      <c r="J170" s="38" t="s">
        <v>481</v>
      </c>
      <c r="K170" s="39" t="s">
        <v>354</v>
      </c>
      <c r="L170" s="59" t="s">
        <v>149</v>
      </c>
      <c r="M170" s="38" t="s">
        <v>372</v>
      </c>
      <c r="N170" s="2" t="s">
        <v>373</v>
      </c>
      <c r="O170" s="38"/>
    </row>
    <row r="171" spans="1:15" ht="150" customHeight="1" x14ac:dyDescent="0.25">
      <c r="A171" s="1" t="str">
        <f t="shared" si="4"/>
        <v>TC_VU_029</v>
      </c>
      <c r="B171" s="38" t="s">
        <v>482</v>
      </c>
      <c r="C171" s="38"/>
      <c r="D171" s="38" t="s">
        <v>483</v>
      </c>
      <c r="E171" s="39" t="s">
        <v>484</v>
      </c>
      <c r="F171" s="39" t="s">
        <v>485</v>
      </c>
      <c r="G171" s="37" t="s">
        <v>976</v>
      </c>
      <c r="H171" s="40" t="s">
        <v>958</v>
      </c>
      <c r="I171" s="37" t="s">
        <v>977</v>
      </c>
      <c r="J171" s="38" t="s">
        <v>488</v>
      </c>
      <c r="K171" s="39" t="s">
        <v>354</v>
      </c>
      <c r="L171" s="59" t="s">
        <v>149</v>
      </c>
      <c r="M171" s="38" t="s">
        <v>372</v>
      </c>
      <c r="N171" s="2" t="s">
        <v>373</v>
      </c>
      <c r="O171" s="38"/>
    </row>
    <row r="172" spans="1:15" ht="150" customHeight="1" x14ac:dyDescent="0.25">
      <c r="A172" s="1" t="str">
        <f t="shared" si="4"/>
        <v>TC_VU_030</v>
      </c>
      <c r="B172" s="39" t="s">
        <v>489</v>
      </c>
      <c r="C172" s="38"/>
      <c r="D172" s="38" t="s">
        <v>490</v>
      </c>
      <c r="E172" s="39" t="s">
        <v>491</v>
      </c>
      <c r="F172" s="39" t="s">
        <v>492</v>
      </c>
      <c r="G172" s="37" t="s">
        <v>978</v>
      </c>
      <c r="H172" s="40" t="s">
        <v>958</v>
      </c>
      <c r="I172" s="37" t="s">
        <v>979</v>
      </c>
      <c r="J172" s="39" t="s">
        <v>495</v>
      </c>
      <c r="K172" s="39" t="s">
        <v>354</v>
      </c>
      <c r="L172" s="59" t="s">
        <v>149</v>
      </c>
      <c r="M172" s="38" t="s">
        <v>372</v>
      </c>
      <c r="N172" s="2" t="s">
        <v>373</v>
      </c>
      <c r="O172" s="38"/>
    </row>
    <row r="173" spans="1:15" ht="150" customHeight="1" x14ac:dyDescent="0.25">
      <c r="A173" s="1" t="str">
        <f t="shared" si="4"/>
        <v>TC_VU_031</v>
      </c>
      <c r="B173" s="39" t="s">
        <v>496</v>
      </c>
      <c r="C173" s="38"/>
      <c r="D173" s="39" t="s">
        <v>497</v>
      </c>
      <c r="E173" s="39" t="s">
        <v>498</v>
      </c>
      <c r="F173" s="38" t="s">
        <v>499</v>
      </c>
      <c r="G173" s="37" t="s">
        <v>980</v>
      </c>
      <c r="H173" s="40" t="s">
        <v>958</v>
      </c>
      <c r="I173" s="37" t="s">
        <v>981</v>
      </c>
      <c r="J173" s="39" t="s">
        <v>464</v>
      </c>
      <c r="K173" s="39" t="s">
        <v>502</v>
      </c>
      <c r="L173" s="59" t="s">
        <v>238</v>
      </c>
      <c r="M173" s="38" t="s">
        <v>372</v>
      </c>
      <c r="N173" s="2" t="s">
        <v>373</v>
      </c>
      <c r="O173" s="38"/>
    </row>
    <row r="174" spans="1:15" ht="150" customHeight="1" x14ac:dyDescent="0.25">
      <c r="A174" s="1" t="str">
        <f t="shared" si="4"/>
        <v>TC_VU_032</v>
      </c>
      <c r="B174" s="6" t="s">
        <v>503</v>
      </c>
      <c r="D174" s="6" t="s">
        <v>504</v>
      </c>
      <c r="E174" s="1" t="s">
        <v>505</v>
      </c>
      <c r="F174" s="1" t="s">
        <v>506</v>
      </c>
      <c r="G174" s="37" t="s">
        <v>982</v>
      </c>
      <c r="H174" s="43" t="s">
        <v>983</v>
      </c>
      <c r="I174" s="37" t="s">
        <v>984</v>
      </c>
      <c r="J174" s="1" t="s">
        <v>510</v>
      </c>
      <c r="K174" s="39" t="s">
        <v>354</v>
      </c>
      <c r="L174" s="59" t="s">
        <v>149</v>
      </c>
      <c r="M174" s="38" t="s">
        <v>372</v>
      </c>
      <c r="N174" s="2" t="s">
        <v>373</v>
      </c>
      <c r="O174" t="s">
        <v>20</v>
      </c>
    </row>
    <row r="175" spans="1:15" ht="150" customHeight="1" x14ac:dyDescent="0.25">
      <c r="A175" s="1" t="str">
        <f t="shared" si="4"/>
        <v>TC_VU_033</v>
      </c>
      <c r="B175" s="6" t="s">
        <v>511</v>
      </c>
      <c r="D175" s="6" t="s">
        <v>512</v>
      </c>
      <c r="E175" s="1" t="s">
        <v>513</v>
      </c>
      <c r="F175" s="1" t="s">
        <v>514</v>
      </c>
      <c r="G175" s="37" t="s">
        <v>985</v>
      </c>
      <c r="H175" s="43" t="s">
        <v>983</v>
      </c>
      <c r="I175" s="37" t="s">
        <v>986</v>
      </c>
      <c r="J175" s="1" t="s">
        <v>517</v>
      </c>
      <c r="K175" s="39" t="s">
        <v>354</v>
      </c>
      <c r="L175" s="59" t="s">
        <v>149</v>
      </c>
      <c r="M175" s="38" t="s">
        <v>372</v>
      </c>
      <c r="N175" s="2" t="s">
        <v>373</v>
      </c>
      <c r="O175" t="s">
        <v>31</v>
      </c>
    </row>
    <row r="176" spans="1:15" ht="150" customHeight="1" x14ac:dyDescent="0.25">
      <c r="A176" s="1" t="str">
        <f t="shared" si="4"/>
        <v>TC_VU_034</v>
      </c>
      <c r="B176" s="6" t="s">
        <v>511</v>
      </c>
      <c r="D176" s="6" t="s">
        <v>518</v>
      </c>
      <c r="E176" s="1" t="s">
        <v>519</v>
      </c>
      <c r="F176" s="1" t="s">
        <v>520</v>
      </c>
      <c r="G176" s="37" t="s">
        <v>987</v>
      </c>
      <c r="H176" s="43" t="s">
        <v>983</v>
      </c>
      <c r="I176" s="37" t="s">
        <v>988</v>
      </c>
      <c r="J176" s="1" t="s">
        <v>523</v>
      </c>
      <c r="K176" s="39" t="s">
        <v>354</v>
      </c>
      <c r="L176" s="59" t="s">
        <v>149</v>
      </c>
      <c r="M176" s="38" t="s">
        <v>372</v>
      </c>
      <c r="N176" s="2" t="s">
        <v>373</v>
      </c>
      <c r="O176" t="s">
        <v>20</v>
      </c>
    </row>
    <row r="177" spans="1:15" ht="150" customHeight="1" x14ac:dyDescent="0.25">
      <c r="A177" s="1" t="str">
        <f t="shared" si="4"/>
        <v>TC_VU_035</v>
      </c>
      <c r="B177" s="6" t="s">
        <v>266</v>
      </c>
      <c r="D177" s="6" t="s">
        <v>524</v>
      </c>
      <c r="E177" s="1" t="s">
        <v>525</v>
      </c>
      <c r="F177" s="1" t="s">
        <v>526</v>
      </c>
      <c r="G177" s="37" t="s">
        <v>989</v>
      </c>
      <c r="H177" s="43" t="s">
        <v>983</v>
      </c>
      <c r="I177" s="37" t="s">
        <v>990</v>
      </c>
      <c r="J177" s="1" t="s">
        <v>529</v>
      </c>
      <c r="K177" s="37" t="s">
        <v>991</v>
      </c>
      <c r="L177" s="59" t="s">
        <v>238</v>
      </c>
      <c r="M177" s="38" t="s">
        <v>372</v>
      </c>
      <c r="N177" s="2" t="s">
        <v>373</v>
      </c>
      <c r="O177" t="s">
        <v>31</v>
      </c>
    </row>
    <row r="178" spans="1:15" ht="150" customHeight="1" x14ac:dyDescent="0.25">
      <c r="A178" s="1" t="str">
        <f t="shared" si="4"/>
        <v>TC_VU_036</v>
      </c>
      <c r="B178" s="6" t="s">
        <v>531</v>
      </c>
      <c r="D178" s="6" t="s">
        <v>532</v>
      </c>
      <c r="E178" s="1" t="s">
        <v>533</v>
      </c>
      <c r="F178" s="1" t="s">
        <v>534</v>
      </c>
      <c r="G178" s="37" t="s">
        <v>992</v>
      </c>
      <c r="H178" s="43" t="s">
        <v>993</v>
      </c>
      <c r="I178" s="37" t="s">
        <v>994</v>
      </c>
      <c r="J178" s="1" t="s">
        <v>538</v>
      </c>
      <c r="K178" s="39" t="s">
        <v>354</v>
      </c>
      <c r="L178" s="59" t="s">
        <v>149</v>
      </c>
      <c r="M178" s="38" t="s">
        <v>372</v>
      </c>
      <c r="N178" s="2" t="s">
        <v>373</v>
      </c>
      <c r="O178" t="s">
        <v>539</v>
      </c>
    </row>
    <row r="179" spans="1:15" ht="150" customHeight="1" x14ac:dyDescent="0.25">
      <c r="A179" s="1" t="str">
        <f t="shared" si="4"/>
        <v>TC_VU_037</v>
      </c>
      <c r="B179" s="6" t="s">
        <v>540</v>
      </c>
      <c r="D179" s="6" t="s">
        <v>541</v>
      </c>
      <c r="E179" s="1" t="s">
        <v>542</v>
      </c>
      <c r="F179" s="1" t="s">
        <v>543</v>
      </c>
      <c r="G179" s="37" t="s">
        <v>995</v>
      </c>
      <c r="H179" s="43" t="s">
        <v>983</v>
      </c>
      <c r="I179" s="37" t="s">
        <v>996</v>
      </c>
      <c r="J179" s="1" t="s">
        <v>546</v>
      </c>
      <c r="K179" s="39" t="s">
        <v>354</v>
      </c>
      <c r="L179" s="59" t="s">
        <v>149</v>
      </c>
      <c r="M179" s="38" t="s">
        <v>372</v>
      </c>
      <c r="N179" s="2" t="s">
        <v>373</v>
      </c>
      <c r="O179" t="s">
        <v>20</v>
      </c>
    </row>
    <row r="180" spans="1:15" ht="150" customHeight="1" x14ac:dyDescent="0.25">
      <c r="A180" s="1" t="str">
        <f t="shared" si="4"/>
        <v>TC_VU_038</v>
      </c>
      <c r="B180" s="6" t="s">
        <v>540</v>
      </c>
      <c r="D180" s="6" t="s">
        <v>547</v>
      </c>
      <c r="E180" s="1" t="s">
        <v>548</v>
      </c>
      <c r="F180" s="1" t="s">
        <v>543</v>
      </c>
      <c r="G180" s="37" t="s">
        <v>997</v>
      </c>
      <c r="H180" s="43" t="s">
        <v>983</v>
      </c>
      <c r="I180" s="37" t="s">
        <v>998</v>
      </c>
      <c r="J180" s="1" t="s">
        <v>464</v>
      </c>
      <c r="K180" s="39" t="s">
        <v>354</v>
      </c>
      <c r="L180" s="59" t="s">
        <v>149</v>
      </c>
      <c r="M180" s="38" t="s">
        <v>372</v>
      </c>
      <c r="N180" s="2" t="s">
        <v>373</v>
      </c>
      <c r="O180" t="s">
        <v>31</v>
      </c>
    </row>
    <row r="181" spans="1:15" ht="150" customHeight="1" x14ac:dyDescent="0.25">
      <c r="A181" s="1" t="str">
        <f t="shared" si="4"/>
        <v>TC_VU_039</v>
      </c>
      <c r="B181" s="6" t="s">
        <v>540</v>
      </c>
      <c r="D181" s="6" t="s">
        <v>551</v>
      </c>
      <c r="E181" s="1" t="s">
        <v>552</v>
      </c>
      <c r="F181" s="1" t="s">
        <v>543</v>
      </c>
      <c r="G181" s="37" t="s">
        <v>995</v>
      </c>
      <c r="H181" s="43" t="s">
        <v>983</v>
      </c>
      <c r="I181" s="37" t="s">
        <v>999</v>
      </c>
      <c r="J181" s="1" t="s">
        <v>464</v>
      </c>
      <c r="K181" s="39" t="s">
        <v>354</v>
      </c>
      <c r="L181" s="59" t="s">
        <v>149</v>
      </c>
      <c r="M181" s="38" t="s">
        <v>372</v>
      </c>
      <c r="N181" s="2" t="s">
        <v>373</v>
      </c>
      <c r="O181" t="s">
        <v>31</v>
      </c>
    </row>
    <row r="182" spans="1:15" ht="150" customHeight="1" x14ac:dyDescent="0.25">
      <c r="A182" s="1" t="str">
        <f t="shared" si="4"/>
        <v>TC_VU_040</v>
      </c>
      <c r="B182" s="6" t="s">
        <v>554</v>
      </c>
      <c r="D182" s="6" t="s">
        <v>555</v>
      </c>
      <c r="E182" s="1" t="s">
        <v>556</v>
      </c>
      <c r="F182" s="1" t="s">
        <v>557</v>
      </c>
      <c r="G182" s="37" t="s">
        <v>995</v>
      </c>
      <c r="H182" s="43" t="s">
        <v>983</v>
      </c>
      <c r="I182" s="37" t="s">
        <v>1000</v>
      </c>
      <c r="J182" s="1" t="s">
        <v>464</v>
      </c>
      <c r="K182" s="39" t="s">
        <v>354</v>
      </c>
      <c r="L182" s="59" t="s">
        <v>149</v>
      </c>
      <c r="M182" s="38" t="s">
        <v>372</v>
      </c>
      <c r="N182" s="2" t="s">
        <v>373</v>
      </c>
      <c r="O182" t="s">
        <v>20</v>
      </c>
    </row>
    <row r="183" spans="1:15" ht="150" customHeight="1" x14ac:dyDescent="0.25">
      <c r="A183" s="1" t="str">
        <f t="shared" si="4"/>
        <v>TC_VU_041</v>
      </c>
      <c r="B183" s="6" t="s">
        <v>554</v>
      </c>
      <c r="D183" s="6" t="s">
        <v>559</v>
      </c>
      <c r="E183" s="1" t="s">
        <v>560</v>
      </c>
      <c r="F183" s="1" t="s">
        <v>557</v>
      </c>
      <c r="G183" s="37" t="s">
        <v>995</v>
      </c>
      <c r="H183" s="43" t="s">
        <v>983</v>
      </c>
      <c r="I183" s="37" t="s">
        <v>1001</v>
      </c>
      <c r="J183" s="1" t="s">
        <v>464</v>
      </c>
      <c r="K183" s="39" t="s">
        <v>354</v>
      </c>
      <c r="L183" s="59" t="s">
        <v>149</v>
      </c>
      <c r="M183" s="38" t="s">
        <v>372</v>
      </c>
      <c r="N183" s="2" t="s">
        <v>373</v>
      </c>
      <c r="O183" t="s">
        <v>31</v>
      </c>
    </row>
    <row r="184" spans="1:15" ht="150" customHeight="1" x14ac:dyDescent="0.25">
      <c r="A184" s="1" t="str">
        <f t="shared" si="4"/>
        <v>TC_VU_042</v>
      </c>
      <c r="B184" s="6" t="s">
        <v>511</v>
      </c>
      <c r="D184" s="6" t="s">
        <v>562</v>
      </c>
      <c r="E184" s="1" t="s">
        <v>563</v>
      </c>
      <c r="F184" s="1" t="s">
        <v>543</v>
      </c>
      <c r="G184" s="37" t="s">
        <v>1002</v>
      </c>
      <c r="H184" s="43" t="s">
        <v>983</v>
      </c>
      <c r="I184" s="37" t="s">
        <v>1003</v>
      </c>
      <c r="J184" s="1" t="s">
        <v>566</v>
      </c>
      <c r="K184" s="39" t="s">
        <v>354</v>
      </c>
      <c r="L184" s="59" t="s">
        <v>149</v>
      </c>
      <c r="M184" s="38" t="s">
        <v>372</v>
      </c>
      <c r="N184" s="2" t="s">
        <v>373</v>
      </c>
      <c r="O184" t="s">
        <v>31</v>
      </c>
    </row>
    <row r="185" spans="1:15" ht="150" customHeight="1" x14ac:dyDescent="0.25">
      <c r="A185" s="1" t="str">
        <f t="shared" si="4"/>
        <v>TC_VU_043</v>
      </c>
      <c r="B185" s="6" t="s">
        <v>567</v>
      </c>
      <c r="D185" s="6" t="s">
        <v>568</v>
      </c>
      <c r="E185" s="1" t="s">
        <v>569</v>
      </c>
      <c r="F185" s="6" t="s">
        <v>543</v>
      </c>
      <c r="G185" s="37" t="s">
        <v>1004</v>
      </c>
      <c r="H185" s="43" t="s">
        <v>983</v>
      </c>
      <c r="I185" s="37" t="s">
        <v>1005</v>
      </c>
      <c r="J185" s="6" t="s">
        <v>572</v>
      </c>
      <c r="K185" s="39" t="s">
        <v>354</v>
      </c>
      <c r="L185" s="59" t="s">
        <v>149</v>
      </c>
      <c r="M185" s="38" t="s">
        <v>372</v>
      </c>
      <c r="N185" s="2" t="s">
        <v>373</v>
      </c>
      <c r="O185" t="s">
        <v>20</v>
      </c>
    </row>
    <row r="186" spans="1:15" ht="150" customHeight="1" x14ac:dyDescent="0.25">
      <c r="A186" s="1" t="str">
        <f t="shared" si="4"/>
        <v>TC_VU_044</v>
      </c>
      <c r="B186" s="6" t="s">
        <v>573</v>
      </c>
      <c r="D186" s="6" t="s">
        <v>574</v>
      </c>
      <c r="E186" s="1" t="s">
        <v>575</v>
      </c>
      <c r="F186" s="6" t="s">
        <v>576</v>
      </c>
      <c r="G186" s="37" t="s">
        <v>1006</v>
      </c>
      <c r="H186" s="43" t="s">
        <v>983</v>
      </c>
      <c r="I186" s="37" t="s">
        <v>1007</v>
      </c>
      <c r="J186" s="6" t="s">
        <v>464</v>
      </c>
      <c r="K186" s="39" t="s">
        <v>354</v>
      </c>
      <c r="L186" s="59" t="s">
        <v>149</v>
      </c>
      <c r="M186" s="38" t="s">
        <v>372</v>
      </c>
      <c r="N186" s="2" t="s">
        <v>373</v>
      </c>
      <c r="O186" t="s">
        <v>20</v>
      </c>
    </row>
  </sheetData>
  <mergeCells count="10">
    <mergeCell ref="A2:O2"/>
    <mergeCell ref="A142:O142"/>
    <mergeCell ref="A51:O51"/>
    <mergeCell ref="B128:B131"/>
    <mergeCell ref="B132:B141"/>
    <mergeCell ref="B123:B126"/>
    <mergeCell ref="B116:B120"/>
    <mergeCell ref="B111:B115"/>
    <mergeCell ref="A110:O110"/>
    <mergeCell ref="A34:O34"/>
  </mergeCells>
  <phoneticPr fontId="6" type="noConversion"/>
  <conditionalFormatting sqref="L1 L51:L109 K96 L142:L186 L275:L532 L578:L1048576">
    <cfRule type="cellIs" dxfId="51" priority="163" operator="equal">
      <formula>"Not_Executed"</formula>
    </cfRule>
    <cfRule type="cellIs" dxfId="50" priority="166" operator="equal">
      <formula>"Passed"</formula>
    </cfRule>
    <cfRule type="cellIs" priority="167" operator="equal">
      <formula>"Not_Executed"</formula>
    </cfRule>
    <cfRule type="cellIs" dxfId="49" priority="168" operator="equal">
      <formula>"Failed"</formula>
    </cfRule>
    <cfRule type="cellIs" dxfId="48" priority="169" operator="equal">
      <formula>"Passed"</formula>
    </cfRule>
  </conditionalFormatting>
  <conditionalFormatting sqref="L3:L49">
    <cfRule type="cellIs" dxfId="47" priority="1" operator="equal">
      <formula>"Not_Executed"</formula>
    </cfRule>
    <cfRule type="cellIs" dxfId="46" priority="2" operator="equal">
      <formula>"Failed"</formula>
    </cfRule>
    <cfRule type="cellIs" dxfId="45" priority="3" operator="equal">
      <formula>"Passed"</formula>
    </cfRule>
    <cfRule type="cellIs" dxfId="44" priority="4" operator="equal">
      <formula>"Passed"</formula>
    </cfRule>
    <cfRule type="cellIs" priority="5" operator="equal">
      <formula>"Not_Executed"</formula>
    </cfRule>
    <cfRule type="cellIs" dxfId="43" priority="6" operator="equal">
      <formula>"Failed"</formula>
    </cfRule>
    <cfRule type="cellIs" dxfId="42" priority="7" operator="equal">
      <formula>"Passed"</formula>
    </cfRule>
  </conditionalFormatting>
  <conditionalFormatting sqref="L51:L109 L142:L186 L1 K96 L275:L532 L578:L1048576">
    <cfRule type="cellIs" dxfId="41" priority="164" operator="equal">
      <formula>"Failed"</formula>
    </cfRule>
    <cfRule type="cellIs" dxfId="40" priority="165" operator="equal">
      <formula>"Passed"</formula>
    </cfRule>
  </conditionalFormatting>
  <conditionalFormatting sqref="L58:L68">
    <cfRule type="cellIs" dxfId="39" priority="162" operator="equal">
      <formula>"Rejected"</formula>
    </cfRule>
  </conditionalFormatting>
  <conditionalFormatting sqref="L79:L91">
    <cfRule type="cellIs" dxfId="38" priority="128" operator="equal">
      <formula>"Failed"</formula>
    </cfRule>
    <cfRule type="cellIs" dxfId="37" priority="129" operator="equal">
      <formula>"Passed"</formula>
    </cfRule>
    <cfRule type="cellIs" dxfId="36" priority="132" operator="equal">
      <formula>"Failed"</formula>
    </cfRule>
    <cfRule type="cellIs" dxfId="35" priority="133" operator="equal">
      <formula>"Passed"</formula>
    </cfRule>
  </conditionalFormatting>
  <conditionalFormatting sqref="L151:L162">
    <cfRule type="cellIs" dxfId="34" priority="125" operator="equal">
      <formula>"Rejected"</formula>
    </cfRule>
  </conditionalFormatting>
  <conditionalFormatting sqref="L174:L186">
    <cfRule type="cellIs" dxfId="33" priority="106" operator="equal">
      <formula>"Failed"</formula>
    </cfRule>
    <cfRule type="cellIs" dxfId="32" priority="107" operator="equal">
      <formula>"Passed"</formula>
    </cfRule>
    <cfRule type="cellIs" dxfId="31" priority="108" operator="equal">
      <formula>"Failed"</formula>
    </cfRule>
    <cfRule type="cellIs" dxfId="30" priority="109" operator="equal">
      <formula>"Passed"</formula>
    </cfRule>
  </conditionalFormatting>
  <dataValidations count="1">
    <dataValidation type="list" allowBlank="1" showInputMessage="1" showErrorMessage="1" sqref="L1 L3:L49 L51:L109 L142:L186 L275:L532 L578:L1048576" xr:uid="{49168799-5FA6-48D9-8949-3153E1A577FA}">
      <formula1>"Passed,Failed,Not_Executed,Rejected"</formula1>
    </dataValidation>
  </dataValidations>
  <hyperlinks>
    <hyperlink ref="H40" r:id="rId1" xr:uid="{40A70D38-E6E9-4AFD-8D13-60F0DAF81DF8}"/>
    <hyperlink ref="H41" r:id="rId2" xr:uid="{EC10304F-E5AB-4684-8965-D07BD4D7ACD1}"/>
    <hyperlink ref="H42" r:id="rId3" xr:uid="{1D895986-7B63-409F-A4BD-34202E01D7B8}"/>
    <hyperlink ref="H44" r:id="rId4" xr:uid="{AED4FE74-6149-4C11-8055-15668E436825}"/>
    <hyperlink ref="H45" r:id="rId5" xr:uid="{CFB7E55E-4A1D-4EB2-B473-C32511DE31F6}"/>
  </hyperlinks>
  <pageMargins left="0.23622047244094491" right="0.23622047244094491" top="0.74803149606299213" bottom="0.74803149606299213" header="0.31496062992125984" footer="0.31496062992125984"/>
  <pageSetup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
  <sheetViews>
    <sheetView workbookViewId="0">
      <selection activeCell="C9" sqref="C9"/>
    </sheetView>
  </sheetViews>
  <sheetFormatPr defaultRowHeight="24.6" customHeight="1" x14ac:dyDescent="0.25"/>
  <cols>
    <col min="3" max="3" width="33.28515625" customWidth="1"/>
    <col min="4" max="4" width="84.28515625" bestFit="1" customWidth="1"/>
    <col min="6" max="6" width="24.42578125" customWidth="1"/>
  </cols>
  <sheetData>
    <row r="1" spans="1:6" ht="30.6" customHeight="1" x14ac:dyDescent="0.25">
      <c r="A1" s="13" t="s">
        <v>1008</v>
      </c>
      <c r="B1" s="8" t="s">
        <v>10</v>
      </c>
      <c r="C1" s="10" t="s">
        <v>1009</v>
      </c>
      <c r="D1" s="8" t="s">
        <v>1010</v>
      </c>
      <c r="E1" s="14" t="s">
        <v>15</v>
      </c>
      <c r="F1" s="14" t="s">
        <v>1011</v>
      </c>
    </row>
    <row r="2" spans="1:6" ht="15" x14ac:dyDescent="0.25">
      <c r="B2" s="12"/>
      <c r="C2" s="11"/>
      <c r="D2" s="5"/>
      <c r="F2" s="5"/>
    </row>
    <row r="3" spans="1:6" ht="15" x14ac:dyDescent="0.25">
      <c r="B3" s="12"/>
      <c r="C3" s="11"/>
      <c r="D3" s="5"/>
    </row>
  </sheetData>
  <phoneticPr fontId="6" type="noConversion"/>
  <conditionalFormatting sqref="E1:E1048576">
    <cfRule type="cellIs" dxfId="29" priority="2" operator="equal">
      <formula>"Opened"</formula>
    </cfRule>
  </conditionalFormatting>
  <conditionalFormatting sqref="E3">
    <cfRule type="cellIs" dxfId="28" priority="1" operator="equal">
      <formula>"Closed"</formula>
    </cfRule>
  </conditionalFormatting>
  <dataValidations count="1">
    <dataValidation type="list" allowBlank="1" showInputMessage="1" showErrorMessage="1" sqref="E1:E1048576" xr:uid="{F98A9DF1-B604-49B2-BFE7-B3A41B859C31}">
      <formula1>"Opened,Closed"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
  <sheetViews>
    <sheetView workbookViewId="0">
      <selection activeCell="F3" sqref="F3"/>
    </sheetView>
  </sheetViews>
  <sheetFormatPr defaultRowHeight="24.6" customHeight="1" x14ac:dyDescent="0.25"/>
  <cols>
    <col min="1" max="1" width="16" style="6" customWidth="1"/>
    <col min="2" max="2" width="21.140625" style="6" bestFit="1" customWidth="1"/>
  </cols>
  <sheetData>
    <row r="1" spans="1:2" ht="31.5" customHeight="1" x14ac:dyDescent="0.25">
      <c r="A1" s="7" t="s">
        <v>10</v>
      </c>
      <c r="B1" s="7" t="s">
        <v>1012</v>
      </c>
    </row>
    <row r="2" spans="1:2" ht="30" customHeight="1" x14ac:dyDescent="0.25">
      <c r="A2" s="23" t="s">
        <v>40</v>
      </c>
      <c r="B2" s="24" t="s">
        <v>1013</v>
      </c>
    </row>
    <row r="3" spans="1:2" ht="30" customHeight="1" x14ac:dyDescent="0.25">
      <c r="A3" s="23" t="s">
        <v>43</v>
      </c>
      <c r="B3" s="24" t="s">
        <v>1014</v>
      </c>
    </row>
    <row r="4" spans="1:2" ht="30.6" customHeight="1" x14ac:dyDescent="0.25">
      <c r="A4" s="23" t="s">
        <v>45</v>
      </c>
      <c r="B4" s="24" t="s">
        <v>1015</v>
      </c>
    </row>
    <row r="5" spans="1:2" ht="30.6" customHeight="1" x14ac:dyDescent="0.25">
      <c r="A5" s="23" t="s">
        <v>47</v>
      </c>
      <c r="B5" s="6" t="s">
        <v>1016</v>
      </c>
    </row>
    <row r="6" spans="1:2" ht="30" customHeight="1" x14ac:dyDescent="0.25">
      <c r="A6" s="23"/>
      <c r="B6" s="24"/>
    </row>
    <row r="7" spans="1:2" ht="24.6" customHeight="1" x14ac:dyDescent="0.25">
      <c r="A7" s="6" t="s">
        <v>49</v>
      </c>
      <c r="B7" s="6" t="s">
        <v>1017</v>
      </c>
    </row>
    <row r="8" spans="1:2" ht="24.6" customHeight="1" x14ac:dyDescent="0.25">
      <c r="A8" s="6" t="s">
        <v>52</v>
      </c>
      <c r="B8" s="6" t="s">
        <v>1018</v>
      </c>
    </row>
    <row r="9" spans="1:2" ht="24.6" customHeight="1" x14ac:dyDescent="0.25">
      <c r="A9" s="6" t="s">
        <v>54</v>
      </c>
      <c r="B9" s="6" t="s">
        <v>1019</v>
      </c>
    </row>
    <row r="10" spans="1:2" ht="24.6" customHeight="1" x14ac:dyDescent="0.25">
      <c r="A10" s="6" t="s">
        <v>56</v>
      </c>
      <c r="B10" s="6" t="s">
        <v>1020</v>
      </c>
    </row>
    <row r="12" spans="1:2" ht="24.6" customHeight="1" x14ac:dyDescent="0.25">
      <c r="A12" s="6" t="s">
        <v>18</v>
      </c>
      <c r="B12" s="6" t="s">
        <v>1021</v>
      </c>
    </row>
    <row r="13" spans="1:2" ht="24.6" customHeight="1" x14ac:dyDescent="0.25">
      <c r="A13" s="6" t="s">
        <v>22</v>
      </c>
      <c r="B13" s="6" t="s">
        <v>1022</v>
      </c>
    </row>
    <row r="14" spans="1:2" ht="24.6" customHeight="1" x14ac:dyDescent="0.25">
      <c r="A14" s="6" t="s">
        <v>24</v>
      </c>
      <c r="B14" s="6" t="s">
        <v>1023</v>
      </c>
    </row>
    <row r="16" spans="1:2" ht="24.6" customHeight="1" x14ac:dyDescent="0.25">
      <c r="A16" s="6" t="s">
        <v>1024</v>
      </c>
      <c r="B16" s="6" t="s">
        <v>1025</v>
      </c>
    </row>
    <row r="17" spans="1:2" ht="24.6" customHeight="1" x14ac:dyDescent="0.25">
      <c r="A17" s="6" t="s">
        <v>1026</v>
      </c>
      <c r="B17" s="6" t="s">
        <v>1027</v>
      </c>
    </row>
    <row r="19" spans="1:2" ht="24.6" customHeight="1" x14ac:dyDescent="0.25">
      <c r="A19" s="6" t="s">
        <v>26</v>
      </c>
      <c r="B19" s="6" t="s">
        <v>1028</v>
      </c>
    </row>
    <row r="20" spans="1:2" ht="24.6" customHeight="1" x14ac:dyDescent="0.25">
      <c r="A20" s="6" t="s">
        <v>29</v>
      </c>
      <c r="B20" s="6" t="s">
        <v>1029</v>
      </c>
    </row>
    <row r="21" spans="1:2" ht="24.6" customHeight="1" x14ac:dyDescent="0.25">
      <c r="A21" s="6" t="s">
        <v>32</v>
      </c>
      <c r="B21" s="6" t="s">
        <v>1030</v>
      </c>
    </row>
    <row r="22" spans="1:2" ht="24.6" customHeight="1" x14ac:dyDescent="0.25">
      <c r="A22" s="6" t="s">
        <v>34</v>
      </c>
      <c r="B22" s="6" t="s">
        <v>1031</v>
      </c>
    </row>
    <row r="23" spans="1:2" ht="24.6" customHeight="1" x14ac:dyDescent="0.25">
      <c r="A23" s="6" t="s">
        <v>36</v>
      </c>
      <c r="B23" s="6" t="s">
        <v>1032</v>
      </c>
    </row>
    <row r="24" spans="1:2" ht="24.6" customHeight="1" x14ac:dyDescent="0.25">
      <c r="A24" s="6" t="s">
        <v>38</v>
      </c>
      <c r="B24" s="6" t="s">
        <v>1033</v>
      </c>
    </row>
    <row r="26" spans="1:2" ht="24.6" customHeight="1" x14ac:dyDescent="0.25">
      <c r="A26" s="6" t="s">
        <v>1034</v>
      </c>
      <c r="B26" s="6" t="s">
        <v>1035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163A4-8125-47A7-984B-D60DE3E2E9F2}">
  <dimension ref="A1:AD64"/>
  <sheetViews>
    <sheetView tabSelected="1" topLeftCell="A45" zoomScale="13" zoomScaleNormal="59" workbookViewId="0">
      <selection activeCell="S53" sqref="S53"/>
    </sheetView>
  </sheetViews>
  <sheetFormatPr defaultRowHeight="15" x14ac:dyDescent="0.25"/>
  <cols>
    <col min="1" max="1" width="50.7109375" style="25" customWidth="1"/>
    <col min="2" max="11" width="50.7109375" customWidth="1"/>
    <col min="12" max="12" width="46" customWidth="1"/>
    <col min="13" max="14" width="50.7109375" customWidth="1"/>
    <col min="15" max="15" width="50.7109375" style="43" customWidth="1"/>
    <col min="16" max="20" width="50.7109375" customWidth="1"/>
  </cols>
  <sheetData>
    <row r="1" spans="1:20" ht="100.15" customHeight="1" x14ac:dyDescent="0.25">
      <c r="A1" s="58" t="s">
        <v>1036</v>
      </c>
      <c r="B1" s="4" t="s">
        <v>1037</v>
      </c>
      <c r="C1" s="4" t="s">
        <v>1038</v>
      </c>
      <c r="D1" s="4" t="s">
        <v>1039</v>
      </c>
      <c r="E1" s="4" t="s">
        <v>1040</v>
      </c>
      <c r="F1" s="4" t="s">
        <v>1041</v>
      </c>
      <c r="G1" s="4" t="s">
        <v>13</v>
      </c>
      <c r="H1" s="4" t="s">
        <v>1042</v>
      </c>
      <c r="I1" s="4" t="s">
        <v>129</v>
      </c>
      <c r="J1" s="4" t="s">
        <v>1043</v>
      </c>
      <c r="K1" s="4" t="s">
        <v>11</v>
      </c>
      <c r="L1" s="4" t="s">
        <v>1044</v>
      </c>
      <c r="M1" s="4" t="s">
        <v>136</v>
      </c>
      <c r="N1" s="4" t="s">
        <v>138</v>
      </c>
      <c r="O1" s="46" t="s">
        <v>1045</v>
      </c>
      <c r="P1" s="4" t="s">
        <v>15</v>
      </c>
      <c r="Q1" s="4" t="s">
        <v>1046</v>
      </c>
      <c r="R1" s="4" t="s">
        <v>1047</v>
      </c>
      <c r="S1" s="4" t="s">
        <v>1048</v>
      </c>
      <c r="T1" s="4" t="s">
        <v>1049</v>
      </c>
    </row>
    <row r="2" spans="1:20" ht="100.15" customHeight="1" x14ac:dyDescent="0.25">
      <c r="A2" s="117" t="s">
        <v>1050</v>
      </c>
      <c r="B2" s="118"/>
      <c r="C2" s="118"/>
      <c r="D2" s="118"/>
      <c r="E2" s="118"/>
      <c r="F2" s="118"/>
      <c r="G2" s="118"/>
      <c r="H2" s="118"/>
      <c r="I2" s="118"/>
      <c r="J2" s="118"/>
      <c r="K2" s="118"/>
      <c r="L2" s="118"/>
      <c r="M2" s="118"/>
      <c r="N2" s="118"/>
      <c r="O2" s="118"/>
      <c r="P2" s="81"/>
      <c r="Q2" s="81"/>
      <c r="R2" s="81"/>
      <c r="S2" s="81"/>
      <c r="T2" s="81"/>
    </row>
    <row r="3" spans="1:20" ht="100.15" customHeight="1" x14ac:dyDescent="0.25">
      <c r="A3" s="2" t="s">
        <v>1051</v>
      </c>
      <c r="B3" s="2" t="s">
        <v>442</v>
      </c>
      <c r="C3" s="106" t="s">
        <v>1052</v>
      </c>
      <c r="D3" s="1" t="s">
        <v>624</v>
      </c>
      <c r="E3" s="1" t="s">
        <v>373</v>
      </c>
      <c r="F3" s="1" t="s">
        <v>1053</v>
      </c>
      <c r="G3" s="6" t="s">
        <v>643</v>
      </c>
      <c r="H3" s="1" t="s">
        <v>1054</v>
      </c>
      <c r="I3" s="42" t="s">
        <v>1055</v>
      </c>
      <c r="J3" s="3"/>
      <c r="K3" s="2" t="s">
        <v>1056</v>
      </c>
      <c r="L3" s="2" t="s">
        <v>1057</v>
      </c>
      <c r="M3" s="2" t="s">
        <v>1058</v>
      </c>
      <c r="N3" s="2" t="s">
        <v>1059</v>
      </c>
      <c r="O3" s="45" t="s">
        <v>1060</v>
      </c>
      <c r="P3" s="1" t="s">
        <v>1061</v>
      </c>
      <c r="Q3" s="2"/>
      <c r="R3" s="1" t="s">
        <v>624</v>
      </c>
      <c r="S3" s="27"/>
      <c r="T3" s="2" t="s">
        <v>1062</v>
      </c>
    </row>
    <row r="4" spans="1:20" ht="100.15" customHeight="1" x14ac:dyDescent="0.25">
      <c r="A4" s="2" t="s">
        <v>1063</v>
      </c>
      <c r="B4" s="1" t="s">
        <v>496</v>
      </c>
      <c r="C4" s="15" t="s">
        <v>1064</v>
      </c>
      <c r="D4" s="1" t="s">
        <v>624</v>
      </c>
      <c r="E4" s="1" t="s">
        <v>373</v>
      </c>
      <c r="F4" s="1" t="s">
        <v>1065</v>
      </c>
      <c r="G4" s="1" t="s">
        <v>20</v>
      </c>
      <c r="H4" s="1" t="s">
        <v>1054</v>
      </c>
      <c r="I4" s="42" t="s">
        <v>1066</v>
      </c>
      <c r="J4" s="5"/>
      <c r="K4" s="43" t="s">
        <v>1067</v>
      </c>
      <c r="L4" s="43" t="s">
        <v>1068</v>
      </c>
      <c r="M4" s="43" t="s">
        <v>1069</v>
      </c>
      <c r="N4" s="43" t="s">
        <v>1070</v>
      </c>
      <c r="O4" s="45" t="s">
        <v>1071</v>
      </c>
      <c r="P4" s="1" t="s">
        <v>1061</v>
      </c>
      <c r="R4" s="1" t="s">
        <v>624</v>
      </c>
      <c r="T4" s="43" t="s">
        <v>1072</v>
      </c>
    </row>
    <row r="5" spans="1:20" ht="100.15" customHeight="1" x14ac:dyDescent="0.25">
      <c r="A5" s="2" t="s">
        <v>1073</v>
      </c>
      <c r="B5" s="1" t="s">
        <v>266</v>
      </c>
      <c r="C5" s="15" t="s">
        <v>1074</v>
      </c>
      <c r="D5" s="1" t="s">
        <v>624</v>
      </c>
      <c r="E5" s="1" t="s">
        <v>373</v>
      </c>
      <c r="F5" s="1" t="s">
        <v>1053</v>
      </c>
      <c r="G5" s="6" t="s">
        <v>643</v>
      </c>
      <c r="H5" s="1" t="s">
        <v>1054</v>
      </c>
      <c r="I5" s="42" t="s">
        <v>1075</v>
      </c>
      <c r="J5" s="5"/>
      <c r="K5" s="44" t="s">
        <v>1076</v>
      </c>
      <c r="L5" s="5" t="s">
        <v>1077</v>
      </c>
      <c r="M5" s="43" t="s">
        <v>1078</v>
      </c>
      <c r="N5" s="43" t="s">
        <v>1079</v>
      </c>
      <c r="O5" s="45" t="s">
        <v>1080</v>
      </c>
      <c r="P5" s="1" t="s">
        <v>1061</v>
      </c>
      <c r="R5" s="1" t="s">
        <v>624</v>
      </c>
      <c r="T5" s="2" t="s">
        <v>1081</v>
      </c>
    </row>
    <row r="6" spans="1:20" ht="100.15" customHeight="1" x14ac:dyDescent="0.25">
      <c r="A6" s="2" t="s">
        <v>1082</v>
      </c>
      <c r="B6" s="1" t="s">
        <v>1083</v>
      </c>
      <c r="C6" s="15" t="s">
        <v>1084</v>
      </c>
      <c r="D6" s="1" t="s">
        <v>624</v>
      </c>
      <c r="E6" s="1" t="s">
        <v>587</v>
      </c>
      <c r="F6" s="1" t="s">
        <v>1065</v>
      </c>
      <c r="G6" s="1" t="s">
        <v>20</v>
      </c>
      <c r="H6" s="1" t="s">
        <v>1054</v>
      </c>
      <c r="I6" s="42" t="s">
        <v>1085</v>
      </c>
      <c r="J6" s="5"/>
      <c r="K6" s="43" t="s">
        <v>1086</v>
      </c>
      <c r="L6" s="5" t="s">
        <v>1087</v>
      </c>
      <c r="M6" s="43" t="s">
        <v>1088</v>
      </c>
      <c r="N6" s="43" t="s">
        <v>1089</v>
      </c>
      <c r="O6" s="45" t="s">
        <v>1090</v>
      </c>
      <c r="P6" s="1" t="s">
        <v>1061</v>
      </c>
      <c r="R6" s="1" t="s">
        <v>624</v>
      </c>
      <c r="T6" s="43" t="s">
        <v>1091</v>
      </c>
    </row>
    <row r="7" spans="1:20" ht="100.15" customHeight="1" x14ac:dyDescent="0.25">
      <c r="A7" s="2" t="s">
        <v>1092</v>
      </c>
      <c r="B7" s="1" t="s">
        <v>1093</v>
      </c>
      <c r="C7" s="15" t="s">
        <v>1094</v>
      </c>
      <c r="D7" s="1" t="s">
        <v>624</v>
      </c>
      <c r="E7" s="1" t="s">
        <v>587</v>
      </c>
      <c r="F7" s="1" t="s">
        <v>1065</v>
      </c>
      <c r="G7" s="1" t="s">
        <v>20</v>
      </c>
      <c r="H7" s="1" t="s">
        <v>1054</v>
      </c>
      <c r="I7" s="42" t="s">
        <v>1095</v>
      </c>
      <c r="J7" s="5"/>
      <c r="K7" s="5" t="s">
        <v>1096</v>
      </c>
      <c r="L7" s="43" t="s">
        <v>1097</v>
      </c>
      <c r="M7" s="43" t="s">
        <v>1098</v>
      </c>
      <c r="N7" s="43" t="s">
        <v>1099</v>
      </c>
      <c r="O7" s="45" t="s">
        <v>1100</v>
      </c>
      <c r="P7" s="1" t="s">
        <v>1061</v>
      </c>
      <c r="R7" s="1" t="s">
        <v>624</v>
      </c>
      <c r="T7" s="43" t="s">
        <v>1101</v>
      </c>
    </row>
    <row r="8" spans="1:20" ht="100.15" customHeight="1" x14ac:dyDescent="0.25">
      <c r="A8" s="2" t="s">
        <v>1102</v>
      </c>
      <c r="B8" s="1" t="s">
        <v>1103</v>
      </c>
      <c r="C8" s="5" t="s">
        <v>1104</v>
      </c>
      <c r="D8" s="1" t="s">
        <v>624</v>
      </c>
      <c r="E8" s="1" t="s">
        <v>587</v>
      </c>
      <c r="F8" s="1" t="s">
        <v>1065</v>
      </c>
      <c r="G8" s="1" t="s">
        <v>20</v>
      </c>
      <c r="H8" s="1" t="s">
        <v>1054</v>
      </c>
      <c r="I8" s="42" t="s">
        <v>1105</v>
      </c>
      <c r="J8" s="5"/>
      <c r="K8" s="5" t="s">
        <v>1106</v>
      </c>
      <c r="L8" s="5" t="s">
        <v>1107</v>
      </c>
      <c r="M8" s="5" t="s">
        <v>1108</v>
      </c>
      <c r="N8" s="5" t="s">
        <v>1109</v>
      </c>
      <c r="O8" s="45" t="s">
        <v>1110</v>
      </c>
      <c r="P8" s="1" t="s">
        <v>1061</v>
      </c>
      <c r="R8" s="1" t="s">
        <v>624</v>
      </c>
      <c r="T8" s="43" t="s">
        <v>1111</v>
      </c>
    </row>
    <row r="9" spans="1:20" ht="100.15" customHeight="1" x14ac:dyDescent="0.25">
      <c r="A9" s="2" t="s">
        <v>1112</v>
      </c>
      <c r="B9" s="1" t="s">
        <v>1093</v>
      </c>
      <c r="C9" s="5" t="s">
        <v>1113</v>
      </c>
      <c r="D9" s="1" t="s">
        <v>624</v>
      </c>
      <c r="E9" s="1" t="s">
        <v>587</v>
      </c>
      <c r="F9" s="1" t="s">
        <v>1065</v>
      </c>
      <c r="G9" s="1" t="s">
        <v>20</v>
      </c>
      <c r="H9" s="1" t="s">
        <v>1054</v>
      </c>
      <c r="I9" s="42" t="s">
        <v>1114</v>
      </c>
      <c r="J9" s="5"/>
      <c r="K9" s="5" t="s">
        <v>1115</v>
      </c>
      <c r="L9" s="5" t="s">
        <v>1116</v>
      </c>
      <c r="M9" s="5" t="s">
        <v>1117</v>
      </c>
      <c r="N9" s="5" t="s">
        <v>1118</v>
      </c>
      <c r="O9" s="45" t="s">
        <v>1119</v>
      </c>
      <c r="P9" s="1" t="s">
        <v>1061</v>
      </c>
      <c r="R9" s="1" t="s">
        <v>624</v>
      </c>
      <c r="T9" s="5"/>
    </row>
    <row r="10" spans="1:20" ht="100.15" customHeight="1" x14ac:dyDescent="0.25">
      <c r="A10" s="2" t="s">
        <v>1120</v>
      </c>
      <c r="B10" s="1" t="s">
        <v>625</v>
      </c>
      <c r="C10" s="15" t="s">
        <v>1121</v>
      </c>
      <c r="D10" s="1" t="s">
        <v>624</v>
      </c>
      <c r="E10" s="1" t="s">
        <v>587</v>
      </c>
      <c r="F10" s="1" t="s">
        <v>1065</v>
      </c>
      <c r="G10" s="1" t="s">
        <v>20</v>
      </c>
      <c r="H10" s="1" t="s">
        <v>1054</v>
      </c>
      <c r="I10" s="42" t="s">
        <v>1122</v>
      </c>
      <c r="K10" s="1" t="s">
        <v>1123</v>
      </c>
      <c r="L10" s="1" t="s">
        <v>1124</v>
      </c>
      <c r="M10" s="1" t="s">
        <v>1125</v>
      </c>
      <c r="N10" s="1" t="s">
        <v>1126</v>
      </c>
      <c r="O10" s="45" t="s">
        <v>1127</v>
      </c>
      <c r="P10" s="1" t="s">
        <v>1061</v>
      </c>
      <c r="Q10" s="1"/>
      <c r="R10" s="1" t="s">
        <v>624</v>
      </c>
      <c r="S10" s="1"/>
      <c r="T10" s="1" t="s">
        <v>1128</v>
      </c>
    </row>
    <row r="11" spans="1:20" ht="100.15" customHeight="1" x14ac:dyDescent="0.25">
      <c r="A11" s="2" t="s">
        <v>1129</v>
      </c>
      <c r="B11" s="1" t="s">
        <v>656</v>
      </c>
      <c r="C11" s="15" t="s">
        <v>1130</v>
      </c>
      <c r="D11" s="1" t="s">
        <v>624</v>
      </c>
      <c r="E11" s="1" t="s">
        <v>587</v>
      </c>
      <c r="F11" s="1" t="s">
        <v>1065</v>
      </c>
      <c r="G11" s="1" t="s">
        <v>20</v>
      </c>
      <c r="H11" s="1" t="s">
        <v>1054</v>
      </c>
      <c r="I11" s="42" t="s">
        <v>1131</v>
      </c>
      <c r="K11" s="1" t="s">
        <v>1132</v>
      </c>
      <c r="L11" s="1" t="s">
        <v>1133</v>
      </c>
      <c r="M11" s="1" t="s">
        <v>1134</v>
      </c>
      <c r="N11" s="1" t="s">
        <v>1135</v>
      </c>
      <c r="O11" s="45" t="s">
        <v>1136</v>
      </c>
      <c r="P11" s="1" t="s">
        <v>1061</v>
      </c>
      <c r="Q11" s="1"/>
      <c r="R11" s="1" t="s">
        <v>624</v>
      </c>
      <c r="S11" s="1"/>
      <c r="T11" s="1" t="s">
        <v>1137</v>
      </c>
    </row>
    <row r="12" spans="1:20" ht="100.15" customHeight="1" x14ac:dyDescent="0.25">
      <c r="A12" s="2" t="s">
        <v>1138</v>
      </c>
      <c r="B12" s="1" t="s">
        <v>1139</v>
      </c>
      <c r="C12" s="15" t="s">
        <v>1140</v>
      </c>
      <c r="D12" s="1" t="s">
        <v>624</v>
      </c>
      <c r="E12" s="1" t="s">
        <v>587</v>
      </c>
      <c r="F12" s="1" t="s">
        <v>1065</v>
      </c>
      <c r="G12" s="1" t="s">
        <v>20</v>
      </c>
      <c r="H12" s="1" t="s">
        <v>1054</v>
      </c>
      <c r="I12" s="42" t="s">
        <v>1141</v>
      </c>
      <c r="K12" s="1" t="s">
        <v>1142</v>
      </c>
      <c r="L12" s="1" t="s">
        <v>1143</v>
      </c>
      <c r="M12" s="1" t="s">
        <v>1144</v>
      </c>
      <c r="N12" s="1" t="s">
        <v>1145</v>
      </c>
      <c r="O12" s="45" t="s">
        <v>1146</v>
      </c>
      <c r="P12" s="1" t="s">
        <v>1061</v>
      </c>
      <c r="Q12" s="1"/>
      <c r="R12" s="1" t="s">
        <v>624</v>
      </c>
      <c r="S12" s="1"/>
      <c r="T12" s="1" t="s">
        <v>1147</v>
      </c>
    </row>
    <row r="13" spans="1:20" ht="100.15" customHeight="1" x14ac:dyDescent="0.25">
      <c r="A13" s="2" t="s">
        <v>1148</v>
      </c>
      <c r="B13" s="1" t="s">
        <v>1149</v>
      </c>
      <c r="C13" s="15" t="s">
        <v>1150</v>
      </c>
      <c r="D13" s="1" t="s">
        <v>624</v>
      </c>
      <c r="E13" s="1" t="s">
        <v>587</v>
      </c>
      <c r="F13" s="1" t="s">
        <v>1065</v>
      </c>
      <c r="G13" s="1" t="s">
        <v>20</v>
      </c>
      <c r="H13" s="1" t="s">
        <v>1054</v>
      </c>
      <c r="I13" s="42" t="s">
        <v>1151</v>
      </c>
      <c r="K13" s="1" t="s">
        <v>1152</v>
      </c>
      <c r="L13" s="1" t="s">
        <v>1153</v>
      </c>
      <c r="M13" s="1" t="s">
        <v>1154</v>
      </c>
      <c r="N13" s="1" t="s">
        <v>1155</v>
      </c>
      <c r="O13" s="45" t="s">
        <v>1156</v>
      </c>
      <c r="P13" s="1" t="s">
        <v>1061</v>
      </c>
      <c r="Q13" s="1"/>
      <c r="R13" s="1" t="s">
        <v>624</v>
      </c>
      <c r="S13" s="1"/>
      <c r="T13" s="1" t="s">
        <v>1157</v>
      </c>
    </row>
    <row r="14" spans="1:20" ht="100.15" customHeight="1" x14ac:dyDescent="0.25">
      <c r="A14" s="2" t="s">
        <v>1158</v>
      </c>
      <c r="B14" s="43" t="s">
        <v>1159</v>
      </c>
      <c r="C14" s="43" t="s">
        <v>1160</v>
      </c>
      <c r="D14" s="43" t="s">
        <v>624</v>
      </c>
      <c r="E14" s="1" t="s">
        <v>1161</v>
      </c>
      <c r="F14" s="1" t="s">
        <v>539</v>
      </c>
      <c r="G14" s="43" t="s">
        <v>20</v>
      </c>
      <c r="H14" s="1" t="s">
        <v>1054</v>
      </c>
      <c r="I14" s="42" t="s">
        <v>1162</v>
      </c>
      <c r="K14" s="1" t="s">
        <v>1163</v>
      </c>
      <c r="L14" s="5" t="s">
        <v>1164</v>
      </c>
      <c r="M14" s="43" t="s">
        <v>1165</v>
      </c>
      <c r="N14" s="43" t="s">
        <v>1166</v>
      </c>
      <c r="O14" s="45" t="s">
        <v>1167</v>
      </c>
      <c r="P14" s="1" t="s">
        <v>1061</v>
      </c>
      <c r="R14" s="1" t="s">
        <v>624</v>
      </c>
      <c r="T14" s="1" t="s">
        <v>1168</v>
      </c>
    </row>
    <row r="15" spans="1:20" ht="100.15" customHeight="1" x14ac:dyDescent="0.25">
      <c r="A15" s="2" t="s">
        <v>1169</v>
      </c>
      <c r="B15" s="43" t="s">
        <v>266</v>
      </c>
      <c r="C15" s="43" t="s">
        <v>1170</v>
      </c>
      <c r="D15" s="43" t="s">
        <v>1171</v>
      </c>
      <c r="E15" s="1" t="s">
        <v>373</v>
      </c>
      <c r="F15" s="1" t="s">
        <v>1053</v>
      </c>
      <c r="G15" s="43" t="s">
        <v>643</v>
      </c>
      <c r="H15" s="1" t="s">
        <v>1054</v>
      </c>
      <c r="I15" s="42" t="s">
        <v>1172</v>
      </c>
      <c r="K15" s="1" t="s">
        <v>1173</v>
      </c>
      <c r="L15" s="2" t="s">
        <v>438</v>
      </c>
      <c r="M15" s="2" t="s">
        <v>439</v>
      </c>
      <c r="N15" s="2" t="s">
        <v>1174</v>
      </c>
      <c r="O15" s="45"/>
      <c r="P15" s="1" t="s">
        <v>1061</v>
      </c>
      <c r="R15" s="1" t="s">
        <v>1175</v>
      </c>
      <c r="T15" s="1"/>
    </row>
    <row r="16" spans="1:20" ht="100.15" hidden="1" customHeight="1" x14ac:dyDescent="0.25">
      <c r="P16" s="25"/>
      <c r="Q16" s="25"/>
      <c r="R16" s="25"/>
      <c r="S16" s="25"/>
      <c r="T16" s="25"/>
    </row>
    <row r="17" spans="1:30" ht="100.15" hidden="1" customHeight="1" x14ac:dyDescent="0.25">
      <c r="P17" s="25"/>
      <c r="Q17" s="25"/>
      <c r="R17" s="25"/>
      <c r="S17" s="25"/>
      <c r="T17" s="25"/>
    </row>
    <row r="18" spans="1:30" ht="100.15" hidden="1" customHeight="1" x14ac:dyDescent="0.25">
      <c r="P18" s="25"/>
      <c r="Q18" s="25"/>
      <c r="R18" s="25"/>
      <c r="S18" s="25"/>
      <c r="T18" s="25"/>
    </row>
    <row r="19" spans="1:30" ht="100.15" hidden="1" customHeight="1" x14ac:dyDescent="0.25">
      <c r="P19" s="25"/>
      <c r="Q19" s="25"/>
      <c r="R19" s="25"/>
      <c r="S19" s="25"/>
      <c r="T19" s="25"/>
    </row>
    <row r="20" spans="1:30" ht="100.15" hidden="1" customHeight="1" x14ac:dyDescent="0.25">
      <c r="P20" s="25"/>
      <c r="Q20" s="25"/>
      <c r="R20" s="25"/>
      <c r="S20" s="25"/>
      <c r="T20" s="25"/>
    </row>
    <row r="21" spans="1:30" ht="100.15" hidden="1" customHeight="1" x14ac:dyDescent="0.25">
      <c r="P21" s="25"/>
      <c r="Q21" s="25"/>
      <c r="R21" s="25"/>
      <c r="S21" s="25"/>
      <c r="T21" s="25"/>
    </row>
    <row r="22" spans="1:30" ht="100.15" hidden="1" customHeight="1" x14ac:dyDescent="0.25">
      <c r="P22" s="25"/>
      <c r="Q22" s="25"/>
      <c r="R22" s="25"/>
      <c r="S22" s="25"/>
      <c r="T22" s="25"/>
    </row>
    <row r="23" spans="1:30" ht="100.15" hidden="1" customHeight="1" x14ac:dyDescent="0.25">
      <c r="P23" s="25"/>
      <c r="Q23" s="25"/>
      <c r="R23" s="25"/>
      <c r="S23" s="25"/>
      <c r="T23" s="25"/>
    </row>
    <row r="24" spans="1:30" ht="100.15" hidden="1" customHeight="1" x14ac:dyDescent="0.25">
      <c r="P24" s="25"/>
      <c r="Q24" s="25"/>
      <c r="R24" s="25"/>
      <c r="S24" s="25"/>
      <c r="T24" s="25"/>
    </row>
    <row r="25" spans="1:30" ht="100.15" hidden="1" customHeight="1" x14ac:dyDescent="0.25">
      <c r="P25" s="25"/>
      <c r="Q25" s="25"/>
      <c r="R25" s="25"/>
      <c r="S25" s="25"/>
      <c r="T25" s="25"/>
    </row>
    <row r="26" spans="1:30" ht="100.15" hidden="1" customHeight="1" x14ac:dyDescent="0.25">
      <c r="P26" s="25"/>
      <c r="Q26" s="25"/>
      <c r="R26" s="25"/>
      <c r="S26" s="25"/>
      <c r="T26" s="25"/>
    </row>
    <row r="27" spans="1:30" ht="100.15" customHeight="1" x14ac:dyDescent="0.25">
      <c r="A27" s="114" t="s">
        <v>1176</v>
      </c>
      <c r="B27" s="114"/>
      <c r="C27" s="114"/>
      <c r="D27" s="114"/>
      <c r="E27" s="114"/>
      <c r="F27" s="114"/>
      <c r="G27" s="114"/>
      <c r="H27" s="114"/>
      <c r="I27" s="114"/>
      <c r="J27" s="114"/>
      <c r="K27" s="114"/>
      <c r="L27" s="114"/>
      <c r="M27" s="114"/>
      <c r="N27" s="114"/>
      <c r="O27" s="114"/>
      <c r="P27" s="119"/>
      <c r="Q27" s="119"/>
      <c r="R27" s="119"/>
      <c r="S27" s="119"/>
      <c r="T27" s="119"/>
      <c r="U27" s="119"/>
      <c r="V27" s="119"/>
      <c r="W27" s="119"/>
      <c r="X27" s="119"/>
      <c r="Y27" s="119"/>
      <c r="Z27" s="119"/>
      <c r="AA27" s="119"/>
      <c r="AB27" s="119"/>
      <c r="AC27" s="119"/>
      <c r="AD27" s="119"/>
    </row>
    <row r="28" spans="1:30" ht="100.15" customHeight="1" x14ac:dyDescent="0.25">
      <c r="A28" s="63" t="s">
        <v>1177</v>
      </c>
      <c r="B28" s="72" t="s">
        <v>738</v>
      </c>
      <c r="C28" s="63" t="s">
        <v>764</v>
      </c>
      <c r="D28" s="63" t="s">
        <v>711</v>
      </c>
      <c r="E28" s="63" t="s">
        <v>151</v>
      </c>
      <c r="F28" s="63" t="s">
        <v>1053</v>
      </c>
      <c r="G28" s="66" t="s">
        <v>20</v>
      </c>
      <c r="H28" s="63" t="s">
        <v>1178</v>
      </c>
      <c r="I28" s="63" t="s">
        <v>1179</v>
      </c>
      <c r="J28" s="64"/>
      <c r="K28" s="63" t="s">
        <v>765</v>
      </c>
      <c r="L28" s="63" t="s">
        <v>767</v>
      </c>
      <c r="M28" s="63" t="s">
        <v>768</v>
      </c>
      <c r="N28" s="63" t="s">
        <v>770</v>
      </c>
      <c r="O28" s="73"/>
      <c r="P28" s="74" t="s">
        <v>1180</v>
      </c>
      <c r="Q28" s="63"/>
      <c r="R28" s="63" t="s">
        <v>711</v>
      </c>
      <c r="S28" s="63" t="s">
        <v>1181</v>
      </c>
      <c r="T28" s="63"/>
    </row>
    <row r="29" spans="1:30" ht="100.15" customHeight="1" x14ac:dyDescent="0.25">
      <c r="A29" s="63" t="s">
        <v>1182</v>
      </c>
      <c r="B29" s="70" t="s">
        <v>777</v>
      </c>
      <c r="C29" s="63" t="s">
        <v>778</v>
      </c>
      <c r="D29" s="63" t="s">
        <v>711</v>
      </c>
      <c r="E29" s="63" t="s">
        <v>151</v>
      </c>
      <c r="F29" s="73" t="s">
        <v>1065</v>
      </c>
      <c r="G29" s="63" t="s">
        <v>31</v>
      </c>
      <c r="H29" s="63" t="s">
        <v>1178</v>
      </c>
      <c r="I29" s="63" t="s">
        <v>1183</v>
      </c>
      <c r="J29" s="73"/>
      <c r="K29" s="63" t="s">
        <v>779</v>
      </c>
      <c r="L29" s="63" t="s">
        <v>780</v>
      </c>
      <c r="M29" s="63" t="s">
        <v>781</v>
      </c>
      <c r="N29" s="63" t="s">
        <v>783</v>
      </c>
      <c r="O29" s="73"/>
      <c r="P29" s="74" t="s">
        <v>1180</v>
      </c>
      <c r="Q29" s="73"/>
      <c r="R29" s="63" t="s">
        <v>711</v>
      </c>
      <c r="S29" s="63" t="s">
        <v>1181</v>
      </c>
      <c r="T29" s="73"/>
    </row>
    <row r="30" spans="1:30" ht="100.15" customHeight="1" x14ac:dyDescent="0.25">
      <c r="A30" s="63" t="s">
        <v>1184</v>
      </c>
      <c r="B30" s="111" t="s">
        <v>784</v>
      </c>
      <c r="C30" s="63" t="s">
        <v>785</v>
      </c>
      <c r="D30" s="63" t="s">
        <v>711</v>
      </c>
      <c r="E30" s="63" t="s">
        <v>151</v>
      </c>
      <c r="F30" s="73" t="s">
        <v>539</v>
      </c>
      <c r="G30" s="66" t="s">
        <v>20</v>
      </c>
      <c r="H30" s="63" t="s">
        <v>1178</v>
      </c>
      <c r="I30" s="63" t="s">
        <v>1185</v>
      </c>
      <c r="J30" s="73"/>
      <c r="K30" s="63" t="s">
        <v>786</v>
      </c>
      <c r="L30" s="63" t="s">
        <v>787</v>
      </c>
      <c r="M30" s="63" t="s">
        <v>788</v>
      </c>
      <c r="N30" s="63" t="s">
        <v>790</v>
      </c>
      <c r="O30" s="75" t="s">
        <v>1186</v>
      </c>
      <c r="P30" s="74" t="s">
        <v>1180</v>
      </c>
      <c r="Q30" s="73"/>
      <c r="R30" s="63" t="s">
        <v>711</v>
      </c>
      <c r="S30" s="63" t="s">
        <v>1181</v>
      </c>
      <c r="T30" s="73"/>
    </row>
    <row r="31" spans="1:30" ht="100.15" customHeight="1" x14ac:dyDescent="0.25">
      <c r="A31" s="63" t="s">
        <v>1187</v>
      </c>
      <c r="B31" s="111"/>
      <c r="C31" s="63" t="s">
        <v>791</v>
      </c>
      <c r="D31" s="63" t="s">
        <v>711</v>
      </c>
      <c r="E31" s="63" t="s">
        <v>151</v>
      </c>
      <c r="F31" s="73" t="s">
        <v>539</v>
      </c>
      <c r="G31" s="66" t="s">
        <v>20</v>
      </c>
      <c r="H31" s="63" t="s">
        <v>1178</v>
      </c>
      <c r="I31" s="63" t="s">
        <v>1188</v>
      </c>
      <c r="J31" s="73"/>
      <c r="K31" s="63" t="s">
        <v>792</v>
      </c>
      <c r="L31" s="63" t="s">
        <v>793</v>
      </c>
      <c r="M31" s="63" t="s">
        <v>794</v>
      </c>
      <c r="N31" s="63" t="s">
        <v>796</v>
      </c>
      <c r="O31" s="75" t="s">
        <v>1186</v>
      </c>
      <c r="P31" s="74" t="s">
        <v>1180</v>
      </c>
      <c r="Q31" s="73"/>
      <c r="R31" s="63" t="s">
        <v>711</v>
      </c>
      <c r="S31" s="63" t="s">
        <v>1181</v>
      </c>
      <c r="T31" s="73"/>
    </row>
    <row r="32" spans="1:30" ht="100.15" customHeight="1" x14ac:dyDescent="0.25">
      <c r="A32" s="63" t="s">
        <v>1189</v>
      </c>
      <c r="B32" s="111"/>
      <c r="C32" s="63" t="s">
        <v>797</v>
      </c>
      <c r="D32" s="63" t="s">
        <v>711</v>
      </c>
      <c r="E32" s="63" t="s">
        <v>151</v>
      </c>
      <c r="F32" s="63" t="s">
        <v>539</v>
      </c>
      <c r="G32" s="66" t="s">
        <v>20</v>
      </c>
      <c r="H32" s="63" t="s">
        <v>1178</v>
      </c>
      <c r="I32" s="63" t="s">
        <v>1190</v>
      </c>
      <c r="J32" s="63"/>
      <c r="K32" s="63" t="s">
        <v>798</v>
      </c>
      <c r="L32" s="63" t="s">
        <v>799</v>
      </c>
      <c r="M32" s="63" t="s">
        <v>788</v>
      </c>
      <c r="N32" s="63" t="s">
        <v>790</v>
      </c>
      <c r="O32" s="75" t="s">
        <v>1191</v>
      </c>
      <c r="P32" s="74" t="s">
        <v>1180</v>
      </c>
      <c r="Q32" s="63"/>
      <c r="R32" s="63" t="s">
        <v>711</v>
      </c>
      <c r="S32" s="63" t="s">
        <v>1181</v>
      </c>
      <c r="T32" s="63"/>
    </row>
    <row r="33" spans="1:20" ht="100.15" customHeight="1" x14ac:dyDescent="0.25">
      <c r="A33" s="63" t="s">
        <v>1192</v>
      </c>
      <c r="B33" s="111"/>
      <c r="C33" s="63" t="s">
        <v>801</v>
      </c>
      <c r="D33" s="63" t="s">
        <v>711</v>
      </c>
      <c r="E33" s="63" t="s">
        <v>151</v>
      </c>
      <c r="F33" s="63" t="s">
        <v>539</v>
      </c>
      <c r="G33" s="66" t="s">
        <v>20</v>
      </c>
      <c r="H33" s="63" t="s">
        <v>1178</v>
      </c>
      <c r="I33" s="63" t="s">
        <v>1193</v>
      </c>
      <c r="J33" s="63"/>
      <c r="K33" s="63" t="s">
        <v>802</v>
      </c>
      <c r="L33" s="63" t="s">
        <v>803</v>
      </c>
      <c r="M33" s="63" t="s">
        <v>794</v>
      </c>
      <c r="N33" s="63" t="s">
        <v>805</v>
      </c>
      <c r="O33" s="75" t="s">
        <v>1191</v>
      </c>
      <c r="P33" s="74" t="s">
        <v>1180</v>
      </c>
      <c r="Q33" s="63"/>
      <c r="R33" s="63" t="s">
        <v>711</v>
      </c>
      <c r="S33" s="63" t="s">
        <v>1181</v>
      </c>
      <c r="T33" s="63"/>
    </row>
    <row r="34" spans="1:20" ht="100.15" customHeight="1" x14ac:dyDescent="0.25">
      <c r="A34" s="63" t="s">
        <v>1194</v>
      </c>
      <c r="B34" s="76" t="s">
        <v>42</v>
      </c>
      <c r="C34" s="63" t="s">
        <v>827</v>
      </c>
      <c r="D34" s="63" t="s">
        <v>711</v>
      </c>
      <c r="E34" s="63" t="s">
        <v>151</v>
      </c>
      <c r="F34" s="63" t="s">
        <v>1065</v>
      </c>
      <c r="G34" s="66" t="s">
        <v>20</v>
      </c>
      <c r="H34" s="63" t="s">
        <v>1178</v>
      </c>
      <c r="I34" s="63" t="s">
        <v>1195</v>
      </c>
      <c r="J34" s="63"/>
      <c r="K34" s="63" t="s">
        <v>828</v>
      </c>
      <c r="L34" s="63" t="s">
        <v>829</v>
      </c>
      <c r="M34" s="63" t="s">
        <v>831</v>
      </c>
      <c r="N34" s="63" t="s">
        <v>833</v>
      </c>
      <c r="O34" s="63"/>
      <c r="P34" s="74" t="s">
        <v>1180</v>
      </c>
      <c r="Q34" s="63"/>
      <c r="R34" s="63" t="s">
        <v>711</v>
      </c>
      <c r="S34" s="63" t="s">
        <v>1181</v>
      </c>
      <c r="T34" s="63"/>
    </row>
    <row r="35" spans="1:20" ht="100.15" customHeight="1" x14ac:dyDescent="0.25">
      <c r="A35" s="63" t="s">
        <v>1196</v>
      </c>
      <c r="B35" s="120" t="s">
        <v>51</v>
      </c>
      <c r="C35" s="63" t="s">
        <v>878</v>
      </c>
      <c r="D35" s="63" t="s">
        <v>711</v>
      </c>
      <c r="E35" s="63" t="s">
        <v>151</v>
      </c>
      <c r="F35" s="63" t="s">
        <v>539</v>
      </c>
      <c r="G35" s="66" t="s">
        <v>20</v>
      </c>
      <c r="H35" s="63" t="s">
        <v>1178</v>
      </c>
      <c r="I35" s="63" t="s">
        <v>1197</v>
      </c>
      <c r="J35" s="63"/>
      <c r="K35" s="63" t="s">
        <v>879</v>
      </c>
      <c r="L35" s="63" t="s">
        <v>880</v>
      </c>
      <c r="M35" s="63" t="s">
        <v>882</v>
      </c>
      <c r="N35" s="63" t="s">
        <v>877</v>
      </c>
      <c r="O35" s="75" t="s">
        <v>1198</v>
      </c>
      <c r="P35" s="74" t="s">
        <v>1180</v>
      </c>
      <c r="Q35" s="63"/>
      <c r="R35" s="63" t="s">
        <v>711</v>
      </c>
      <c r="S35" s="63" t="s">
        <v>1181</v>
      </c>
      <c r="T35" s="63"/>
    </row>
    <row r="36" spans="1:20" ht="100.15" customHeight="1" x14ac:dyDescent="0.25">
      <c r="A36" s="63" t="s">
        <v>1199</v>
      </c>
      <c r="B36" s="120"/>
      <c r="C36" s="63" t="s">
        <v>883</v>
      </c>
      <c r="D36" s="63" t="s">
        <v>711</v>
      </c>
      <c r="E36" s="63" t="s">
        <v>151</v>
      </c>
      <c r="F36" s="63" t="s">
        <v>539</v>
      </c>
      <c r="G36" s="66" t="s">
        <v>20</v>
      </c>
      <c r="H36" s="63" t="s">
        <v>1178</v>
      </c>
      <c r="I36" s="63" t="s">
        <v>1200</v>
      </c>
      <c r="J36" s="63"/>
      <c r="K36" s="63" t="s">
        <v>884</v>
      </c>
      <c r="L36" s="63" t="s">
        <v>885</v>
      </c>
      <c r="M36" s="63" t="s">
        <v>887</v>
      </c>
      <c r="N36" s="63" t="s">
        <v>877</v>
      </c>
      <c r="O36" s="75" t="s">
        <v>1201</v>
      </c>
      <c r="P36" s="74" t="s">
        <v>1180</v>
      </c>
      <c r="Q36" s="63"/>
      <c r="R36" s="63" t="s">
        <v>711</v>
      </c>
      <c r="S36" s="63" t="s">
        <v>1181</v>
      </c>
      <c r="T36" s="63"/>
    </row>
    <row r="37" spans="1:20" ht="100.15" customHeight="1" x14ac:dyDescent="0.25">
      <c r="A37" s="63" t="s">
        <v>1202</v>
      </c>
      <c r="B37" s="120"/>
      <c r="C37" s="63" t="s">
        <v>896</v>
      </c>
      <c r="D37" s="63" t="s">
        <v>711</v>
      </c>
      <c r="E37" s="63" t="s">
        <v>151</v>
      </c>
      <c r="F37" s="63" t="s">
        <v>539</v>
      </c>
      <c r="G37" s="66" t="s">
        <v>20</v>
      </c>
      <c r="H37" s="63" t="s">
        <v>1178</v>
      </c>
      <c r="I37" s="63" t="s">
        <v>1203</v>
      </c>
      <c r="J37" s="63"/>
      <c r="K37" s="63" t="s">
        <v>897</v>
      </c>
      <c r="L37" s="63" t="s">
        <v>898</v>
      </c>
      <c r="M37" s="63" t="s">
        <v>899</v>
      </c>
      <c r="N37" s="63" t="s">
        <v>901</v>
      </c>
      <c r="O37" s="75" t="s">
        <v>1204</v>
      </c>
      <c r="P37" s="74" t="s">
        <v>1180</v>
      </c>
      <c r="Q37" s="63"/>
      <c r="R37" s="63" t="s">
        <v>711</v>
      </c>
      <c r="S37" s="63" t="s">
        <v>1181</v>
      </c>
      <c r="T37" s="63"/>
    </row>
    <row r="38" spans="1:20" ht="36" x14ac:dyDescent="0.55000000000000004">
      <c r="A38" s="115" t="s">
        <v>1205</v>
      </c>
      <c r="B38" s="116"/>
      <c r="C38" s="116"/>
      <c r="D38" s="116"/>
      <c r="E38" s="116"/>
      <c r="F38" s="116"/>
      <c r="G38" s="116"/>
      <c r="H38" s="116"/>
      <c r="I38" s="116"/>
      <c r="J38" s="116"/>
      <c r="K38" s="116"/>
      <c r="L38" s="116"/>
      <c r="M38" s="116"/>
      <c r="N38" s="116"/>
      <c r="O38" s="116"/>
      <c r="P38" s="87"/>
      <c r="Q38" s="87"/>
      <c r="R38" s="87"/>
      <c r="S38" s="87"/>
    </row>
    <row r="39" spans="1:20" ht="90" x14ac:dyDescent="0.25">
      <c r="A39" s="6" t="s">
        <v>1206</v>
      </c>
      <c r="B39" s="2" t="s">
        <v>286</v>
      </c>
      <c r="C39" s="2" t="s">
        <v>287</v>
      </c>
      <c r="D39" s="85" t="s">
        <v>293</v>
      </c>
      <c r="E39" s="63" t="s">
        <v>151</v>
      </c>
      <c r="F39" s="6" t="s">
        <v>1207</v>
      </c>
      <c r="G39" s="86" t="s">
        <v>1208</v>
      </c>
      <c r="H39" s="6" t="s">
        <v>1209</v>
      </c>
      <c r="I39" s="1" t="s">
        <v>1210</v>
      </c>
      <c r="K39" s="44" t="s">
        <v>288</v>
      </c>
      <c r="L39" s="44" t="s">
        <v>290</v>
      </c>
      <c r="M39" s="1" t="s">
        <v>291</v>
      </c>
      <c r="N39" s="1" t="s">
        <v>292</v>
      </c>
      <c r="O39"/>
      <c r="P39" s="1" t="s">
        <v>1061</v>
      </c>
      <c r="R39" s="85" t="s">
        <v>293</v>
      </c>
    </row>
    <row r="40" spans="1:20" ht="105" x14ac:dyDescent="0.25">
      <c r="A40" s="6" t="s">
        <v>1211</v>
      </c>
      <c r="B40" s="15" t="s">
        <v>286</v>
      </c>
      <c r="C40" s="15" t="s">
        <v>297</v>
      </c>
      <c r="D40" s="85" t="s">
        <v>293</v>
      </c>
      <c r="E40" s="63" t="s">
        <v>151</v>
      </c>
      <c r="F40" s="6" t="s">
        <v>1212</v>
      </c>
      <c r="G40" s="86" t="s">
        <v>1212</v>
      </c>
      <c r="H40" s="6" t="s">
        <v>1209</v>
      </c>
      <c r="I40" s="1" t="s">
        <v>1213</v>
      </c>
      <c r="K40" s="83" t="s">
        <v>298</v>
      </c>
      <c r="L40" s="43" t="s">
        <v>299</v>
      </c>
      <c r="M40" s="1" t="s">
        <v>1214</v>
      </c>
      <c r="N40" s="1" t="s">
        <v>301</v>
      </c>
      <c r="P40" s="1" t="s">
        <v>1061</v>
      </c>
      <c r="R40" s="85" t="s">
        <v>293</v>
      </c>
    </row>
    <row r="41" spans="1:20" ht="105" x14ac:dyDescent="0.25">
      <c r="A41"/>
      <c r="B41" s="15" t="s">
        <v>286</v>
      </c>
      <c r="C41" s="15" t="s">
        <v>302</v>
      </c>
      <c r="D41" s="85" t="s">
        <v>293</v>
      </c>
      <c r="E41" s="63" t="s">
        <v>151</v>
      </c>
      <c r="F41" s="6" t="s">
        <v>1212</v>
      </c>
      <c r="G41" s="86" t="s">
        <v>1212</v>
      </c>
      <c r="H41" s="6" t="s">
        <v>1209</v>
      </c>
      <c r="I41" s="1" t="s">
        <v>1215</v>
      </c>
      <c r="K41" s="83" t="s">
        <v>303</v>
      </c>
      <c r="L41" s="43" t="s">
        <v>304</v>
      </c>
      <c r="M41" s="1" t="s">
        <v>305</v>
      </c>
      <c r="N41" s="6" t="s">
        <v>292</v>
      </c>
      <c r="P41" s="1" t="s">
        <v>1061</v>
      </c>
      <c r="R41" s="85" t="s">
        <v>293</v>
      </c>
    </row>
    <row r="42" spans="1:20" ht="105" x14ac:dyDescent="0.25">
      <c r="A42"/>
      <c r="B42" s="15" t="s">
        <v>286</v>
      </c>
      <c r="C42" s="15" t="s">
        <v>302</v>
      </c>
      <c r="D42" s="85" t="s">
        <v>293</v>
      </c>
      <c r="E42" s="63" t="s">
        <v>151</v>
      </c>
      <c r="F42" s="6" t="s">
        <v>1212</v>
      </c>
      <c r="G42" s="86" t="s">
        <v>1212</v>
      </c>
      <c r="H42" s="6" t="s">
        <v>1209</v>
      </c>
      <c r="I42" s="1" t="s">
        <v>1216</v>
      </c>
      <c r="K42" s="83" t="s">
        <v>306</v>
      </c>
      <c r="L42" s="43" t="s">
        <v>307</v>
      </c>
      <c r="M42" s="1" t="s">
        <v>1217</v>
      </c>
      <c r="N42" s="1" t="s">
        <v>1218</v>
      </c>
      <c r="P42" s="1" t="s">
        <v>1061</v>
      </c>
      <c r="R42" s="85" t="s">
        <v>293</v>
      </c>
    </row>
    <row r="43" spans="1:20" ht="90" x14ac:dyDescent="0.25">
      <c r="A43"/>
      <c r="B43" s="2" t="s">
        <v>310</v>
      </c>
      <c r="C43" s="2" t="s">
        <v>311</v>
      </c>
      <c r="D43" s="85" t="s">
        <v>293</v>
      </c>
      <c r="E43" s="63" t="s">
        <v>151</v>
      </c>
      <c r="F43" s="6" t="s">
        <v>1219</v>
      </c>
      <c r="G43" s="86" t="s">
        <v>1212</v>
      </c>
      <c r="H43" s="6" t="s">
        <v>1209</v>
      </c>
      <c r="I43" s="1" t="s">
        <v>1220</v>
      </c>
      <c r="K43" s="44" t="s">
        <v>312</v>
      </c>
      <c r="L43" s="44" t="s">
        <v>1221</v>
      </c>
      <c r="M43" s="1" t="s">
        <v>315</v>
      </c>
      <c r="N43" s="1" t="s">
        <v>316</v>
      </c>
      <c r="O43" s="84" t="s">
        <v>314</v>
      </c>
      <c r="P43" s="1" t="s">
        <v>1061</v>
      </c>
      <c r="R43" s="85" t="s">
        <v>293</v>
      </c>
    </row>
    <row r="44" spans="1:20" ht="90" x14ac:dyDescent="0.25">
      <c r="A44"/>
      <c r="B44" s="2" t="s">
        <v>317</v>
      </c>
      <c r="C44" s="2" t="s">
        <v>318</v>
      </c>
      <c r="D44" s="85" t="s">
        <v>293</v>
      </c>
      <c r="E44" s="63" t="s">
        <v>151</v>
      </c>
      <c r="F44" s="6" t="s">
        <v>1219</v>
      </c>
      <c r="G44" s="86" t="s">
        <v>1212</v>
      </c>
      <c r="H44" s="6" t="s">
        <v>1209</v>
      </c>
      <c r="I44" s="1" t="s">
        <v>1222</v>
      </c>
      <c r="K44" s="44" t="s">
        <v>319</v>
      </c>
      <c r="L44" s="44" t="s">
        <v>1223</v>
      </c>
      <c r="M44" s="1" t="s">
        <v>322</v>
      </c>
      <c r="N44" s="1" t="s">
        <v>323</v>
      </c>
      <c r="O44" s="84" t="s">
        <v>321</v>
      </c>
      <c r="P44" s="1" t="s">
        <v>1061</v>
      </c>
      <c r="R44" s="85" t="s">
        <v>293</v>
      </c>
    </row>
    <row r="45" spans="1:20" ht="120" x14ac:dyDescent="0.25">
      <c r="A45"/>
      <c r="B45" s="2" t="s">
        <v>317</v>
      </c>
      <c r="C45" s="2" t="s">
        <v>324</v>
      </c>
      <c r="D45" s="85" t="s">
        <v>293</v>
      </c>
      <c r="E45" s="63" t="s">
        <v>151</v>
      </c>
      <c r="F45" s="6" t="s">
        <v>1219</v>
      </c>
      <c r="G45" s="86" t="s">
        <v>1212</v>
      </c>
      <c r="H45" s="6" t="s">
        <v>1209</v>
      </c>
      <c r="I45" s="1" t="s">
        <v>1224</v>
      </c>
      <c r="K45" s="44" t="s">
        <v>325</v>
      </c>
      <c r="L45" s="44" t="s">
        <v>1225</v>
      </c>
      <c r="M45" s="1" t="s">
        <v>328</v>
      </c>
      <c r="N45" s="1" t="s">
        <v>329</v>
      </c>
      <c r="O45" s="84" t="s">
        <v>327</v>
      </c>
      <c r="P45" s="1" t="s">
        <v>1061</v>
      </c>
      <c r="R45" s="85" t="s">
        <v>293</v>
      </c>
    </row>
    <row r="46" spans="1:20" ht="120" x14ac:dyDescent="0.25">
      <c r="A46"/>
      <c r="B46" s="2" t="s">
        <v>317</v>
      </c>
      <c r="C46" s="2" t="s">
        <v>330</v>
      </c>
      <c r="D46" s="85" t="s">
        <v>293</v>
      </c>
      <c r="E46" s="63" t="s">
        <v>151</v>
      </c>
      <c r="F46" s="6" t="s">
        <v>1219</v>
      </c>
      <c r="G46" s="86" t="s">
        <v>1212</v>
      </c>
      <c r="H46" s="6" t="s">
        <v>1209</v>
      </c>
      <c r="I46" s="1" t="s">
        <v>1226</v>
      </c>
      <c r="K46" s="44" t="s">
        <v>331</v>
      </c>
      <c r="L46" s="44" t="s">
        <v>1227</v>
      </c>
      <c r="M46" s="1" t="s">
        <v>328</v>
      </c>
      <c r="N46" s="1" t="s">
        <v>329</v>
      </c>
      <c r="O46" s="44" t="s">
        <v>333</v>
      </c>
      <c r="P46" s="1" t="s">
        <v>1061</v>
      </c>
      <c r="R46" s="85" t="s">
        <v>293</v>
      </c>
    </row>
    <row r="47" spans="1:20" ht="120" x14ac:dyDescent="0.25">
      <c r="A47"/>
      <c r="B47" s="2" t="s">
        <v>317</v>
      </c>
      <c r="C47" s="2" t="s">
        <v>334</v>
      </c>
      <c r="D47" s="85" t="s">
        <v>293</v>
      </c>
      <c r="E47" s="63" t="s">
        <v>151</v>
      </c>
      <c r="F47" s="6" t="s">
        <v>1219</v>
      </c>
      <c r="G47" s="86" t="s">
        <v>1212</v>
      </c>
      <c r="H47" s="6" t="s">
        <v>1209</v>
      </c>
      <c r="I47" s="1" t="s">
        <v>1228</v>
      </c>
      <c r="K47" s="44" t="s">
        <v>335</v>
      </c>
      <c r="L47" s="44" t="s">
        <v>1229</v>
      </c>
      <c r="M47" s="1" t="s">
        <v>338</v>
      </c>
      <c r="N47" s="1" t="s">
        <v>339</v>
      </c>
      <c r="O47" s="84" t="s">
        <v>337</v>
      </c>
      <c r="P47" s="1" t="s">
        <v>1061</v>
      </c>
      <c r="R47" s="85" t="s">
        <v>293</v>
      </c>
    </row>
    <row r="48" spans="1:20" ht="120" x14ac:dyDescent="0.25">
      <c r="A48"/>
      <c r="B48" s="2" t="s">
        <v>317</v>
      </c>
      <c r="C48" s="2" t="s">
        <v>340</v>
      </c>
      <c r="D48" s="85" t="s">
        <v>293</v>
      </c>
      <c r="E48" s="63" t="s">
        <v>151</v>
      </c>
      <c r="F48" s="6" t="s">
        <v>1219</v>
      </c>
      <c r="G48" s="86" t="s">
        <v>1212</v>
      </c>
      <c r="H48" s="6" t="s">
        <v>1209</v>
      </c>
      <c r="I48" s="1" t="s">
        <v>1230</v>
      </c>
      <c r="K48" s="44" t="s">
        <v>341</v>
      </c>
      <c r="L48" s="44" t="s">
        <v>1231</v>
      </c>
      <c r="M48" s="1" t="s">
        <v>338</v>
      </c>
      <c r="N48" s="1" t="s">
        <v>329</v>
      </c>
      <c r="O48" s="84" t="s">
        <v>343</v>
      </c>
      <c r="P48" s="1" t="s">
        <v>1061</v>
      </c>
      <c r="R48" s="85" t="s">
        <v>293</v>
      </c>
    </row>
    <row r="49" spans="1:19" ht="135" x14ac:dyDescent="0.25">
      <c r="A49"/>
      <c r="B49" s="2" t="s">
        <v>344</v>
      </c>
      <c r="C49" s="2" t="s">
        <v>355</v>
      </c>
      <c r="D49" s="85" t="s">
        <v>293</v>
      </c>
      <c r="F49" s="6" t="s">
        <v>1219</v>
      </c>
      <c r="G49" s="86" t="s">
        <v>1212</v>
      </c>
      <c r="H49" s="6" t="s">
        <v>1209</v>
      </c>
      <c r="I49" s="1" t="s">
        <v>1232</v>
      </c>
      <c r="K49" s="82" t="s">
        <v>355</v>
      </c>
      <c r="L49" s="44" t="s">
        <v>1233</v>
      </c>
      <c r="M49" s="6" t="s">
        <v>358</v>
      </c>
      <c r="N49" s="6" t="s">
        <v>359</v>
      </c>
      <c r="O49" s="44" t="s">
        <v>357</v>
      </c>
      <c r="P49" s="1" t="s">
        <v>1061</v>
      </c>
      <c r="R49" s="85" t="s">
        <v>293</v>
      </c>
    </row>
    <row r="50" spans="1:19" ht="36" x14ac:dyDescent="0.55000000000000004">
      <c r="A50" s="115" t="s">
        <v>1234</v>
      </c>
      <c r="B50" s="116"/>
      <c r="C50" s="116"/>
      <c r="D50" s="116"/>
      <c r="E50" s="116"/>
      <c r="F50" s="116"/>
      <c r="G50" s="116"/>
      <c r="H50" s="116"/>
      <c r="I50" s="116"/>
      <c r="J50" s="116"/>
      <c r="K50" s="116"/>
      <c r="L50" s="116"/>
      <c r="M50" s="116"/>
      <c r="N50" s="116"/>
      <c r="O50" s="116"/>
      <c r="P50" s="81"/>
      <c r="Q50" s="81"/>
      <c r="R50" s="81"/>
      <c r="S50" s="81"/>
    </row>
    <row r="51" spans="1:19" ht="90" x14ac:dyDescent="0.25">
      <c r="A51" s="101" t="s">
        <v>1206</v>
      </c>
      <c r="B51" s="101" t="s">
        <v>1235</v>
      </c>
      <c r="C51" s="101" t="s">
        <v>1236</v>
      </c>
      <c r="D51" s="101" t="s">
        <v>1237</v>
      </c>
      <c r="E51" s="101" t="s">
        <v>1238</v>
      </c>
      <c r="F51" s="101" t="s">
        <v>1239</v>
      </c>
      <c r="G51" s="101" t="s">
        <v>1239</v>
      </c>
      <c r="H51" s="101" t="s">
        <v>1240</v>
      </c>
      <c r="I51" s="102" t="s">
        <v>1241</v>
      </c>
      <c r="J51" s="102"/>
      <c r="K51" s="101" t="s">
        <v>1242</v>
      </c>
      <c r="L51" s="101" t="s">
        <v>1243</v>
      </c>
      <c r="M51" s="101" t="s">
        <v>1244</v>
      </c>
      <c r="N51" s="101" t="s">
        <v>1245</v>
      </c>
      <c r="O51" s="101"/>
      <c r="P51" s="1" t="s">
        <v>1061</v>
      </c>
      <c r="Q51" s="101"/>
      <c r="R51" s="104" t="s">
        <v>1237</v>
      </c>
      <c r="S51" s="101"/>
    </row>
    <row r="52" spans="1:19" ht="105" x14ac:dyDescent="0.25">
      <c r="A52" s="103" t="s">
        <v>1211</v>
      </c>
      <c r="B52" s="103" t="s">
        <v>1235</v>
      </c>
      <c r="C52" s="101" t="s">
        <v>1246</v>
      </c>
      <c r="D52" s="101" t="s">
        <v>1237</v>
      </c>
      <c r="E52" s="101" t="s">
        <v>1238</v>
      </c>
      <c r="F52" s="101" t="s">
        <v>1239</v>
      </c>
      <c r="G52" s="101" t="s">
        <v>1239</v>
      </c>
      <c r="H52" s="101" t="s">
        <v>1240</v>
      </c>
      <c r="I52" s="103" t="s">
        <v>1247</v>
      </c>
      <c r="J52" s="103"/>
      <c r="K52" s="101" t="s">
        <v>1248</v>
      </c>
      <c r="L52" s="101" t="s">
        <v>1249</v>
      </c>
      <c r="M52" s="101" t="s">
        <v>1250</v>
      </c>
      <c r="N52" s="103" t="s">
        <v>1245</v>
      </c>
      <c r="O52" s="103"/>
      <c r="P52" s="1" t="s">
        <v>1061</v>
      </c>
      <c r="Q52" s="103"/>
      <c r="R52" s="105" t="s">
        <v>1237</v>
      </c>
      <c r="S52" s="101"/>
    </row>
    <row r="53" spans="1:19" ht="90" x14ac:dyDescent="0.25">
      <c r="A53" s="103"/>
      <c r="B53" s="103" t="s">
        <v>1235</v>
      </c>
      <c r="C53" s="101" t="s">
        <v>1251</v>
      </c>
      <c r="D53" s="103" t="s">
        <v>1237</v>
      </c>
      <c r="E53" s="103" t="s">
        <v>1238</v>
      </c>
      <c r="F53" s="103" t="s">
        <v>1239</v>
      </c>
      <c r="G53" s="103" t="s">
        <v>1239</v>
      </c>
      <c r="H53" s="101" t="s">
        <v>1240</v>
      </c>
      <c r="I53" s="103" t="s">
        <v>1252</v>
      </c>
      <c r="J53" s="103"/>
      <c r="K53" s="101" t="s">
        <v>1253</v>
      </c>
      <c r="L53" s="101" t="s">
        <v>1254</v>
      </c>
      <c r="M53" s="101" t="s">
        <v>1255</v>
      </c>
      <c r="N53" s="101" t="s">
        <v>1256</v>
      </c>
      <c r="O53" s="103"/>
      <c r="P53" s="1" t="s">
        <v>1061</v>
      </c>
      <c r="Q53" s="103"/>
      <c r="R53" s="104" t="s">
        <v>1237</v>
      </c>
      <c r="S53" s="101"/>
    </row>
    <row r="54" spans="1:19" ht="90" x14ac:dyDescent="0.25">
      <c r="A54" s="103" t="s">
        <v>1257</v>
      </c>
      <c r="B54" s="103" t="s">
        <v>1235</v>
      </c>
      <c r="C54" s="101" t="s">
        <v>1258</v>
      </c>
      <c r="D54" s="103" t="s">
        <v>1237</v>
      </c>
      <c r="E54" s="103" t="s">
        <v>1238</v>
      </c>
      <c r="F54" s="103" t="s">
        <v>1239</v>
      </c>
      <c r="G54" s="103" t="s">
        <v>1239</v>
      </c>
      <c r="H54" s="101" t="s">
        <v>1259</v>
      </c>
      <c r="I54" s="103" t="s">
        <v>1260</v>
      </c>
      <c r="J54" s="103"/>
      <c r="K54" s="101" t="s">
        <v>1261</v>
      </c>
      <c r="L54" s="101" t="s">
        <v>1262</v>
      </c>
      <c r="M54" s="101" t="s">
        <v>1263</v>
      </c>
      <c r="N54" s="101" t="s">
        <v>1245</v>
      </c>
      <c r="O54" s="103"/>
      <c r="P54" s="1" t="s">
        <v>1061</v>
      </c>
      <c r="Q54" s="103"/>
      <c r="R54" s="104" t="s">
        <v>1237</v>
      </c>
      <c r="S54" s="101"/>
    </row>
    <row r="55" spans="1:19" ht="36" x14ac:dyDescent="0.55000000000000004">
      <c r="A55" s="115" t="s">
        <v>1264</v>
      </c>
      <c r="B55" s="116"/>
      <c r="C55" s="116"/>
      <c r="D55" s="116"/>
      <c r="E55" s="116"/>
      <c r="F55" s="116"/>
      <c r="G55" s="116"/>
      <c r="H55" s="116"/>
      <c r="I55" s="116"/>
      <c r="J55" s="116"/>
      <c r="K55" s="116"/>
      <c r="L55" s="116"/>
      <c r="M55" s="116"/>
      <c r="N55" s="116"/>
      <c r="O55" s="116"/>
    </row>
    <row r="56" spans="1:19" ht="75" x14ac:dyDescent="0.25">
      <c r="A56" s="6" t="s">
        <v>1265</v>
      </c>
      <c r="B56" s="6" t="s">
        <v>401</v>
      </c>
      <c r="C56" s="6" t="s">
        <v>1266</v>
      </c>
      <c r="D56" s="6" t="s">
        <v>372</v>
      </c>
      <c r="E56" s="6" t="s">
        <v>373</v>
      </c>
      <c r="F56" s="6" t="s">
        <v>31</v>
      </c>
      <c r="G56" s="6" t="s">
        <v>20</v>
      </c>
      <c r="H56" s="6" t="s">
        <v>1267</v>
      </c>
      <c r="I56" s="6" t="s">
        <v>1268</v>
      </c>
      <c r="J56" s="6" t="s">
        <v>1024</v>
      </c>
      <c r="K56" s="6" t="s">
        <v>1269</v>
      </c>
      <c r="L56" s="91" t="s">
        <v>939</v>
      </c>
      <c r="M56" s="1" t="s">
        <v>940</v>
      </c>
      <c r="N56" s="1" t="s">
        <v>1270</v>
      </c>
      <c r="O56" s="1"/>
      <c r="P56" s="1" t="s">
        <v>1061</v>
      </c>
      <c r="Q56" s="6"/>
      <c r="R56" s="1" t="s">
        <v>1175</v>
      </c>
      <c r="S56" s="6"/>
    </row>
    <row r="57" spans="1:19" ht="90" x14ac:dyDescent="0.25">
      <c r="A57" s="6" t="s">
        <v>1271</v>
      </c>
      <c r="B57" s="6" t="s">
        <v>1272</v>
      </c>
      <c r="C57" s="6" t="s">
        <v>1273</v>
      </c>
      <c r="D57" s="6" t="s">
        <v>372</v>
      </c>
      <c r="E57" s="6" t="s">
        <v>373</v>
      </c>
      <c r="F57" s="6" t="s">
        <v>20</v>
      </c>
      <c r="G57" s="6" t="s">
        <v>20</v>
      </c>
      <c r="H57" s="6" t="s">
        <v>1267</v>
      </c>
      <c r="I57" s="6" t="s">
        <v>1274</v>
      </c>
      <c r="J57" s="6" t="s">
        <v>29</v>
      </c>
      <c r="K57" s="6" t="s">
        <v>1275</v>
      </c>
      <c r="L57" s="90" t="s">
        <v>944</v>
      </c>
      <c r="M57" s="1" t="s">
        <v>945</v>
      </c>
      <c r="N57" s="90" t="s">
        <v>1276</v>
      </c>
      <c r="O57" s="1"/>
      <c r="P57" s="1" t="s">
        <v>1061</v>
      </c>
      <c r="Q57" s="6"/>
      <c r="R57" s="1" t="s">
        <v>1175</v>
      </c>
      <c r="S57" s="6"/>
    </row>
    <row r="58" spans="1:19" ht="90" x14ac:dyDescent="0.25">
      <c r="A58" s="6" t="s">
        <v>1277</v>
      </c>
      <c r="B58" s="6" t="s">
        <v>1278</v>
      </c>
      <c r="C58" s="6" t="s">
        <v>1279</v>
      </c>
      <c r="D58" s="6" t="s">
        <v>372</v>
      </c>
      <c r="E58" s="6" t="s">
        <v>373</v>
      </c>
      <c r="F58" s="6" t="s">
        <v>20</v>
      </c>
      <c r="G58" s="6" t="s">
        <v>20</v>
      </c>
      <c r="H58" s="6" t="s">
        <v>1267</v>
      </c>
      <c r="I58" s="6" t="s">
        <v>1280</v>
      </c>
      <c r="J58" s="6" t="s">
        <v>1024</v>
      </c>
      <c r="K58" s="6" t="s">
        <v>1281</v>
      </c>
      <c r="L58" s="90" t="s">
        <v>948</v>
      </c>
      <c r="M58" s="5" t="s">
        <v>426</v>
      </c>
      <c r="N58" s="1" t="s">
        <v>949</v>
      </c>
      <c r="O58" s="1"/>
      <c r="P58" s="1" t="s">
        <v>1061</v>
      </c>
      <c r="Q58" s="6"/>
      <c r="R58" s="1" t="s">
        <v>1175</v>
      </c>
      <c r="S58" s="6"/>
    </row>
    <row r="59" spans="1:19" ht="75" x14ac:dyDescent="0.25">
      <c r="A59" s="6" t="s">
        <v>1282</v>
      </c>
      <c r="B59" s="6" t="s">
        <v>1278</v>
      </c>
      <c r="C59" s="6" t="s">
        <v>1283</v>
      </c>
      <c r="D59" s="6" t="s">
        <v>372</v>
      </c>
      <c r="E59" s="6" t="s">
        <v>373</v>
      </c>
      <c r="F59" s="6" t="s">
        <v>31</v>
      </c>
      <c r="G59" s="6" t="s">
        <v>31</v>
      </c>
      <c r="H59" s="6" t="s">
        <v>1267</v>
      </c>
      <c r="I59" s="6" t="s">
        <v>1284</v>
      </c>
      <c r="J59" s="6" t="s">
        <v>1026</v>
      </c>
      <c r="K59" s="6" t="s">
        <v>1285</v>
      </c>
      <c r="L59" s="2" t="s">
        <v>953</v>
      </c>
      <c r="M59" s="2" t="s">
        <v>439</v>
      </c>
      <c r="N59" s="2" t="s">
        <v>954</v>
      </c>
      <c r="O59" s="1"/>
      <c r="P59" s="1" t="s">
        <v>1061</v>
      </c>
      <c r="Q59" s="6"/>
      <c r="R59" s="1" t="s">
        <v>1175</v>
      </c>
      <c r="S59" s="6"/>
    </row>
    <row r="60" spans="1:19" ht="120.75" x14ac:dyDescent="0.25">
      <c r="A60" s="6" t="s">
        <v>1286</v>
      </c>
      <c r="B60" s="6" t="s">
        <v>442</v>
      </c>
      <c r="C60" s="6" t="s">
        <v>1287</v>
      </c>
      <c r="D60" s="6" t="s">
        <v>372</v>
      </c>
      <c r="E60" s="6" t="s">
        <v>373</v>
      </c>
      <c r="F60" s="6" t="s">
        <v>31</v>
      </c>
      <c r="G60" s="6" t="s">
        <v>20</v>
      </c>
      <c r="H60" s="6" t="s">
        <v>1267</v>
      </c>
      <c r="I60" s="6" t="s">
        <v>1288</v>
      </c>
      <c r="J60" s="6" t="s">
        <v>1026</v>
      </c>
      <c r="K60" s="6" t="s">
        <v>1289</v>
      </c>
      <c r="L60" s="37" t="s">
        <v>957</v>
      </c>
      <c r="M60" s="37" t="s">
        <v>959</v>
      </c>
      <c r="N60" s="37" t="s">
        <v>960</v>
      </c>
      <c r="O60" s="1"/>
      <c r="P60" s="1" t="s">
        <v>1061</v>
      </c>
      <c r="Q60" s="6"/>
      <c r="R60" s="1" t="s">
        <v>1175</v>
      </c>
      <c r="S60" s="6"/>
    </row>
    <row r="61" spans="1:19" ht="195" x14ac:dyDescent="0.25">
      <c r="A61" s="6" t="s">
        <v>1290</v>
      </c>
      <c r="B61" s="6" t="s">
        <v>442</v>
      </c>
      <c r="C61" s="6" t="s">
        <v>1291</v>
      </c>
      <c r="D61" s="6" t="s">
        <v>372</v>
      </c>
      <c r="E61" s="6" t="s">
        <v>373</v>
      </c>
      <c r="F61" s="6" t="s">
        <v>31</v>
      </c>
      <c r="G61" s="6" t="s">
        <v>20</v>
      </c>
      <c r="H61" s="6" t="s">
        <v>1267</v>
      </c>
      <c r="I61" s="6" t="s">
        <v>1292</v>
      </c>
      <c r="J61" s="6" t="s">
        <v>47</v>
      </c>
      <c r="K61" s="6" t="s">
        <v>1293</v>
      </c>
      <c r="L61" s="1" t="s">
        <v>965</v>
      </c>
      <c r="M61" s="1" t="s">
        <v>1294</v>
      </c>
      <c r="N61" s="1" t="s">
        <v>967</v>
      </c>
      <c r="O61" s="1"/>
      <c r="P61" s="1" t="s">
        <v>1061</v>
      </c>
      <c r="Q61" s="6"/>
      <c r="R61" s="1" t="s">
        <v>1175</v>
      </c>
      <c r="S61" s="6"/>
    </row>
    <row r="62" spans="1:19" ht="138" x14ac:dyDescent="0.25">
      <c r="A62" s="6" t="s">
        <v>1295</v>
      </c>
      <c r="B62" s="6" t="s">
        <v>471</v>
      </c>
      <c r="C62" s="6" t="s">
        <v>1296</v>
      </c>
      <c r="D62" s="6" t="s">
        <v>372</v>
      </c>
      <c r="E62" s="6" t="s">
        <v>373</v>
      </c>
      <c r="F62" s="6" t="s">
        <v>20</v>
      </c>
      <c r="G62" s="6" t="s">
        <v>20</v>
      </c>
      <c r="H62" s="6" t="s">
        <v>1267</v>
      </c>
      <c r="I62" s="6" t="s">
        <v>1297</v>
      </c>
      <c r="J62" s="6" t="s">
        <v>45</v>
      </c>
      <c r="K62" s="6" t="s">
        <v>1298</v>
      </c>
      <c r="L62" s="37" t="s">
        <v>972</v>
      </c>
      <c r="M62" s="37" t="s">
        <v>973</v>
      </c>
      <c r="N62" s="37" t="s">
        <v>974</v>
      </c>
      <c r="O62" s="1"/>
      <c r="P62" s="1" t="s">
        <v>1061</v>
      </c>
      <c r="Q62" s="6"/>
      <c r="R62" s="1" t="s">
        <v>1175</v>
      </c>
      <c r="S62" s="6"/>
    </row>
    <row r="63" spans="1:19" ht="103.5" x14ac:dyDescent="0.25">
      <c r="A63" s="6" t="s">
        <v>1299</v>
      </c>
      <c r="B63" s="6" t="s">
        <v>496</v>
      </c>
      <c r="C63" s="6" t="s">
        <v>1300</v>
      </c>
      <c r="D63" s="6" t="s">
        <v>372</v>
      </c>
      <c r="E63" s="6" t="s">
        <v>373</v>
      </c>
      <c r="F63" s="6" t="s">
        <v>539</v>
      </c>
      <c r="G63" s="6" t="s">
        <v>20</v>
      </c>
      <c r="H63" s="6" t="s">
        <v>1267</v>
      </c>
      <c r="I63" s="6" t="s">
        <v>1301</v>
      </c>
      <c r="J63" s="6" t="s">
        <v>49</v>
      </c>
      <c r="K63" s="6" t="s">
        <v>1302</v>
      </c>
      <c r="L63" s="37" t="s">
        <v>980</v>
      </c>
      <c r="M63" s="37" t="s">
        <v>981</v>
      </c>
      <c r="N63" s="39" t="s">
        <v>502</v>
      </c>
      <c r="O63" s="1"/>
      <c r="P63" s="1" t="s">
        <v>1061</v>
      </c>
      <c r="Q63" s="6"/>
      <c r="R63" s="1" t="s">
        <v>1175</v>
      </c>
      <c r="S63" s="6"/>
    </row>
    <row r="64" spans="1:19" ht="155.25" x14ac:dyDescent="0.25">
      <c r="A64" s="6" t="s">
        <v>1303</v>
      </c>
      <c r="B64" s="6" t="s">
        <v>511</v>
      </c>
      <c r="C64" s="6" t="s">
        <v>1304</v>
      </c>
      <c r="D64" s="6" t="s">
        <v>372</v>
      </c>
      <c r="E64" s="6" t="s">
        <v>373</v>
      </c>
      <c r="F64" s="6" t="s">
        <v>31</v>
      </c>
      <c r="G64" s="6" t="s">
        <v>31</v>
      </c>
      <c r="H64" s="6" t="s">
        <v>1267</v>
      </c>
      <c r="I64" s="6" t="s">
        <v>1305</v>
      </c>
      <c r="J64" s="6" t="s">
        <v>1026</v>
      </c>
      <c r="K64" s="6" t="s">
        <v>1306</v>
      </c>
      <c r="L64" s="37" t="s">
        <v>989</v>
      </c>
      <c r="M64" s="37" t="s">
        <v>990</v>
      </c>
      <c r="N64" s="37" t="s">
        <v>991</v>
      </c>
      <c r="O64" s="45" t="s">
        <v>1060</v>
      </c>
      <c r="P64" s="1" t="s">
        <v>1061</v>
      </c>
      <c r="Q64" s="6"/>
      <c r="R64" s="1" t="s">
        <v>1175</v>
      </c>
      <c r="S64" s="6"/>
    </row>
  </sheetData>
  <mergeCells count="8">
    <mergeCell ref="A55:O55"/>
    <mergeCell ref="A2:O2"/>
    <mergeCell ref="A38:O38"/>
    <mergeCell ref="P27:AD27"/>
    <mergeCell ref="A50:O50"/>
    <mergeCell ref="A27:O27"/>
    <mergeCell ref="B30:B33"/>
    <mergeCell ref="B35:B37"/>
  </mergeCells>
  <conditionalFormatting sqref="P3:P15">
    <cfRule type="cellIs" dxfId="27" priority="91" operator="equal">
      <formula>"Closed"</formula>
    </cfRule>
    <cfRule type="cellIs" dxfId="26" priority="85" operator="equal">
      <formula>"Rejected"</formula>
    </cfRule>
    <cfRule type="cellIs" dxfId="25" priority="86" operator="equal">
      <formula>"Assigned"</formula>
    </cfRule>
    <cfRule type="cellIs" dxfId="24" priority="87" operator="equal">
      <formula>"Open"</formula>
    </cfRule>
    <cfRule type="cellIs" dxfId="23" priority="88" operator="equal">
      <formula>"Open,Assigned"</formula>
    </cfRule>
    <cfRule type="cellIs" dxfId="22" priority="89" operator="equal">
      <formula>"New"</formula>
    </cfRule>
    <cfRule type="cellIs" dxfId="21" priority="90" operator="equal">
      <formula>"New"</formula>
    </cfRule>
  </conditionalFormatting>
  <conditionalFormatting sqref="P39:P49">
    <cfRule type="cellIs" dxfId="20" priority="80" operator="equal">
      <formula>"Open"</formula>
    </cfRule>
    <cfRule type="cellIs" dxfId="19" priority="78" operator="equal">
      <formula>"Rejected"</formula>
    </cfRule>
    <cfRule type="cellIs" dxfId="18" priority="79" operator="equal">
      <formula>"Assigned"</formula>
    </cfRule>
    <cfRule type="cellIs" dxfId="17" priority="81" operator="equal">
      <formula>"Open,Assigned"</formula>
    </cfRule>
    <cfRule type="cellIs" dxfId="16" priority="82" operator="equal">
      <formula>"New"</formula>
    </cfRule>
    <cfRule type="cellIs" dxfId="15" priority="83" operator="equal">
      <formula>"New"</formula>
    </cfRule>
    <cfRule type="cellIs" dxfId="14" priority="84" operator="equal">
      <formula>"Closed"</formula>
    </cfRule>
  </conditionalFormatting>
  <conditionalFormatting sqref="P51:P54">
    <cfRule type="cellIs" dxfId="13" priority="1" operator="equal">
      <formula>"Rejected"</formula>
    </cfRule>
    <cfRule type="cellIs" dxfId="12" priority="2" operator="equal">
      <formula>"Assigned"</formula>
    </cfRule>
    <cfRule type="cellIs" dxfId="11" priority="3" operator="equal">
      <formula>"Open"</formula>
    </cfRule>
    <cfRule type="cellIs" dxfId="10" priority="4" operator="equal">
      <formula>"Open,Assigned"</formula>
    </cfRule>
    <cfRule type="cellIs" dxfId="9" priority="5" operator="equal">
      <formula>"New"</formula>
    </cfRule>
    <cfRule type="cellIs" dxfId="8" priority="6" operator="equal">
      <formula>"New"</formula>
    </cfRule>
    <cfRule type="cellIs" dxfId="7" priority="7" operator="equal">
      <formula>"Closed"</formula>
    </cfRule>
  </conditionalFormatting>
  <conditionalFormatting sqref="P56:P64">
    <cfRule type="cellIs" dxfId="6" priority="16" operator="equal">
      <formula>"Assigned"</formula>
    </cfRule>
    <cfRule type="cellIs" dxfId="5" priority="17" operator="equal">
      <formula>"Open"</formula>
    </cfRule>
    <cfRule type="cellIs" dxfId="4" priority="18" operator="equal">
      <formula>"Open,Assigned"</formula>
    </cfRule>
    <cfRule type="cellIs" dxfId="3" priority="19" operator="equal">
      <formula>"New"</formula>
    </cfRule>
    <cfRule type="cellIs" dxfId="2" priority="20" operator="equal">
      <formula>"New"</formula>
    </cfRule>
    <cfRule type="cellIs" dxfId="1" priority="21" operator="equal">
      <formula>"Closed"</formula>
    </cfRule>
    <cfRule type="cellIs" dxfId="0" priority="15" operator="equal">
      <formula>"Rejected"</formula>
    </cfRule>
  </conditionalFormatting>
  <dataValidations count="1">
    <dataValidation type="list" allowBlank="1" showInputMessage="1" showErrorMessage="1" sqref="P3:P15 P39:P49 P56:P64 P51:P54" xr:uid="{9B111DC9-A2C0-4A95-84CA-F0EA0DC8AC9C}">
      <formula1>"New,Assigned,Open,Fixed,Retest,Closed,Reopened,Rejected"</formula1>
    </dataValidation>
  </dataValidations>
  <hyperlinks>
    <hyperlink ref="O3" r:id="rId1" xr:uid="{64DA2096-2182-4C95-B328-A3F5150A5153}"/>
    <hyperlink ref="O4" r:id="rId2" xr:uid="{C2603463-93F6-4D53-A0CB-8736731F1687}"/>
    <hyperlink ref="O5" r:id="rId3" xr:uid="{A5091981-3494-478D-BAE0-F0F8B489B0A0}"/>
    <hyperlink ref="O6" r:id="rId4" xr:uid="{791F03CF-E759-4ECB-8BBF-53ADA93196ED}"/>
    <hyperlink ref="O8" r:id="rId5" xr:uid="{C1325442-7CC2-4F5A-AB2E-71E00380AA7B}"/>
    <hyperlink ref="O9" r:id="rId6" xr:uid="{36D830E6-F780-4A65-A1AC-7674815ECC8E}"/>
    <hyperlink ref="O7" r:id="rId7" xr:uid="{FB7A6AD4-6094-4214-989C-46D901F6CBB2}"/>
    <hyperlink ref="O10" r:id="rId8" xr:uid="{E2859C88-19BB-44A6-9D6D-DB9CF4B965C0}"/>
    <hyperlink ref="O11" r:id="rId9" xr:uid="{80A71C12-4A18-451C-8E29-27A27DF47946}"/>
    <hyperlink ref="O12" r:id="rId10" xr:uid="{CE659ACB-9B87-4013-B6A3-2C34FA1D2BD3}"/>
    <hyperlink ref="O13" r:id="rId11" xr:uid="{ABAFBE9F-0119-4EEA-AAB2-8C5B79122375}"/>
    <hyperlink ref="O14" r:id="rId12" xr:uid="{85B6FDB3-7FE3-4DC1-B0C0-DA245949C29D}"/>
    <hyperlink ref="O30" r:id="rId13" xr:uid="{598F3A3C-64E7-4479-9580-BA82BD24E15C}"/>
    <hyperlink ref="O31" r:id="rId14" xr:uid="{0A062936-72C1-4EC9-A035-68A108BF3CF9}"/>
    <hyperlink ref="O32" r:id="rId15" xr:uid="{3DBC2AE7-506C-4337-85DE-EA2639118383}"/>
    <hyperlink ref="O33" r:id="rId16" xr:uid="{8ACCD13E-47BB-42AE-B1EA-18D80FD37D27}"/>
    <hyperlink ref="O35" r:id="rId17" xr:uid="{0120C5C9-91EB-4E2D-B614-6349F3632B0F}"/>
    <hyperlink ref="O36" r:id="rId18" xr:uid="{D38BB154-67FF-4D8D-8E37-E543773F7348}"/>
    <hyperlink ref="O37" r:id="rId19" xr:uid="{FF07CD81-374A-42FF-BCF0-08457C71CDC1}"/>
    <hyperlink ref="O43" r:id="rId20" xr:uid="{61D094AC-D82A-4A2E-99B5-906F03995137}"/>
    <hyperlink ref="O44" r:id="rId21" xr:uid="{7D5155A1-9914-4C9F-B355-D71D84C6D66F}"/>
    <hyperlink ref="O45" r:id="rId22" xr:uid="{94812021-627A-48C1-B757-13C1955EDB91}"/>
    <hyperlink ref="O47" r:id="rId23" xr:uid="{48650256-36F5-4DAA-AAEC-14F131283363}"/>
    <hyperlink ref="O48" r:id="rId24" xr:uid="{8006C8E0-9584-467F-AD62-86CED59564C8}"/>
    <hyperlink ref="O64" r:id="rId25" xr:uid="{9E546A38-64E6-48C3-953E-22A2CDA20E39}"/>
  </hyperlinks>
  <pageMargins left="0.7" right="0.7" top="0.75" bottom="0.75" header="0.3" footer="0.3"/>
  <drawing r:id="rId2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90C8-7A40-49E4-A9A5-EFA5501F8FB5}">
  <dimension ref="A1:J11"/>
  <sheetViews>
    <sheetView zoomScale="92" workbookViewId="0">
      <selection activeCell="F7" sqref="F7"/>
    </sheetView>
  </sheetViews>
  <sheetFormatPr defaultRowHeight="25.5" customHeight="1" x14ac:dyDescent="0.25"/>
  <cols>
    <col min="2" max="2" width="11.140625" customWidth="1"/>
    <col min="3" max="3" width="14.85546875" customWidth="1"/>
    <col min="5" max="5" width="15.28515625" customWidth="1"/>
    <col min="6" max="6" width="13.42578125" customWidth="1"/>
    <col min="7" max="7" width="12.85546875" bestFit="1" customWidth="1"/>
    <col min="8" max="8" width="12.85546875" style="6" customWidth="1"/>
    <col min="9" max="9" width="20.140625" hidden="1" customWidth="1"/>
    <col min="10" max="10" width="35.85546875" bestFit="1" customWidth="1"/>
  </cols>
  <sheetData>
    <row r="1" spans="1:10" ht="30" customHeight="1" x14ac:dyDescent="0.25">
      <c r="A1" s="4" t="s">
        <v>10</v>
      </c>
      <c r="B1" s="4" t="s">
        <v>1307</v>
      </c>
      <c r="C1" s="4" t="s">
        <v>1308</v>
      </c>
    </row>
    <row r="2" spans="1:10" ht="25.5" customHeight="1" x14ac:dyDescent="0.25">
      <c r="A2" s="3"/>
      <c r="B2" s="2"/>
      <c r="C2" s="2"/>
    </row>
    <row r="3" spans="1:10" ht="25.5" customHeight="1" x14ac:dyDescent="0.25">
      <c r="A3" s="2"/>
      <c r="B3" s="2"/>
      <c r="C3" s="2"/>
    </row>
    <row r="4" spans="1:10" ht="40.9" customHeight="1" x14ac:dyDescent="0.25">
      <c r="A4" s="2"/>
      <c r="B4" s="2"/>
      <c r="C4" s="2"/>
      <c r="E4" s="21" t="s">
        <v>1309</v>
      </c>
      <c r="F4" s="88" t="s">
        <v>149</v>
      </c>
      <c r="G4" s="88" t="s">
        <v>238</v>
      </c>
      <c r="H4" s="88" t="s">
        <v>1310</v>
      </c>
      <c r="I4" s="20"/>
      <c r="J4" s="20" t="s">
        <v>1311</v>
      </c>
    </row>
    <row r="5" spans="1:10" ht="25.5" customHeight="1" x14ac:dyDescent="0.25">
      <c r="A5" s="2"/>
      <c r="B5" s="2"/>
      <c r="C5" s="2"/>
      <c r="E5" s="6">
        <v>180</v>
      </c>
      <c r="F5" s="6">
        <v>140</v>
      </c>
      <c r="G5" s="6">
        <v>40</v>
      </c>
      <c r="H5" s="6">
        <v>0</v>
      </c>
      <c r="I5" s="9"/>
      <c r="J5" s="18"/>
    </row>
    <row r="6" spans="1:10" ht="25.5" customHeight="1" x14ac:dyDescent="0.25">
      <c r="A6" s="2"/>
      <c r="B6" s="2"/>
      <c r="C6" s="22"/>
      <c r="I6" s="19"/>
      <c r="J6" s="18"/>
    </row>
    <row r="7" spans="1:10" ht="25.5" customHeight="1" x14ac:dyDescent="0.25">
      <c r="A7" s="2"/>
      <c r="B7" s="2"/>
      <c r="C7" s="2"/>
      <c r="F7" s="17"/>
    </row>
    <row r="8" spans="1:10" ht="25.5" customHeight="1" x14ac:dyDescent="0.25">
      <c r="A8" s="2"/>
      <c r="B8" s="2"/>
      <c r="C8" s="2"/>
    </row>
    <row r="9" spans="1:10" ht="25.5" customHeight="1" x14ac:dyDescent="0.25">
      <c r="A9" s="2"/>
      <c r="B9" s="2"/>
      <c r="C9" s="2"/>
    </row>
    <row r="10" spans="1:10" ht="25.5" customHeight="1" x14ac:dyDescent="0.25">
      <c r="A10" s="2"/>
      <c r="B10" s="2"/>
      <c r="C10" s="2"/>
    </row>
    <row r="11" spans="1:10" ht="25.5" customHeight="1" x14ac:dyDescent="0.25">
      <c r="A11" s="2"/>
      <c r="B11" s="2"/>
      <c r="C11"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783C20652FCEA4EBD64B1D47EE71AC2" ma:contentTypeVersion="1" ma:contentTypeDescription="Create a new document." ma:contentTypeScope="" ma:versionID="49571176b9fd452a92317f697520f58c">
  <xsd:schema xmlns:xsd="http://www.w3.org/2001/XMLSchema" xmlns:xs="http://www.w3.org/2001/XMLSchema" xmlns:p="http://schemas.microsoft.com/office/2006/metadata/properties" xmlns:ns3="956cf7db-5564-43fa-9d66-56985402c7a2" targetNamespace="http://schemas.microsoft.com/office/2006/metadata/properties" ma:root="true" ma:fieldsID="ceb6de97d741be13dc8c762d5a60010d" ns3:_="">
    <xsd:import namespace="956cf7db-5564-43fa-9d66-56985402c7a2"/>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6cf7db-5564-43fa-9d66-56985402c7a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6544BE-E93F-4726-9888-E6274EB9FA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6cf7db-5564-43fa-9d66-56985402c7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C21686-9385-4043-ACEB-A10913427458}">
  <ds:schemaRefs>
    <ds:schemaRef ds:uri="http://purl.org/dc/terms/"/>
    <ds:schemaRef ds:uri="http://schemas.microsoft.com/office/infopath/2007/PartnerControls"/>
    <ds:schemaRef ds:uri="956cf7db-5564-43fa-9d66-56985402c7a2"/>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 ds:uri="http://purl.org/dc/elements/1.1/"/>
  </ds:schemaRefs>
</ds:datastoreItem>
</file>

<file path=customXml/itemProps3.xml><?xml version="1.0" encoding="utf-8"?>
<ds:datastoreItem xmlns:ds="http://schemas.openxmlformats.org/officeDocument/2006/customXml" ds:itemID="{47000105-DFBE-4561-8EEC-E926739EA4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Project_Info</vt:lpstr>
      <vt:lpstr>Requirements</vt:lpstr>
      <vt:lpstr>User_Stories</vt:lpstr>
      <vt:lpstr>Test_Cases</vt:lpstr>
      <vt:lpstr>SIQs</vt:lpstr>
      <vt:lpstr>Traceability</vt:lpstr>
      <vt:lpstr>Bug_Report</vt:lpstr>
      <vt:lpstr>Summary_Report</vt:lpstr>
      <vt:lpstr>Test_Cases!Print_Area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Ahmed Mohamed Yassin</cp:lastModifiedBy>
  <cp:revision/>
  <dcterms:created xsi:type="dcterms:W3CDTF">2025-09-30T14:33:50Z</dcterms:created>
  <dcterms:modified xsi:type="dcterms:W3CDTF">2025-11-30T23:48:40Z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0x010100D783C20652FCEA4EBD64B1D47EE71AC2</vt:lpwstr>
  </property>
</Properties>
</file>